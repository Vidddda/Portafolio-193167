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vdlr\Documents\Zaqora\Modelo economico\"/>
    </mc:Choice>
  </mc:AlternateContent>
  <xr:revisionPtr revIDLastSave="0" documentId="13_ncr:1_{9D4A671C-B86C-4AFC-9765-4F09DBCBFA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eeme" sheetId="1" r:id="rId1"/>
    <sheet name="Supuestos" sheetId="2" r:id="rId2"/>
    <sheet name="BOM" sheetId="3" r:id="rId3"/>
    <sheet name="Costo IA" sheetId="4" r:id="rId4"/>
    <sheet name="Costo unitario" sheetId="5" r:id="rId5"/>
    <sheet name="Flujo de caja" sheetId="6" r:id="rId6"/>
    <sheet name="Sensibilidad" sheetId="7" r:id="rId7"/>
    <sheet name="Ejerc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8" l="1"/>
  <c r="C93" i="8" s="1"/>
  <c r="B92" i="8"/>
  <c r="C92" i="8" s="1"/>
  <c r="B91" i="8"/>
  <c r="C91" i="8" s="1"/>
  <c r="B90" i="8"/>
  <c r="C90" i="8" s="1"/>
  <c r="B85" i="8"/>
  <c r="B83" i="8"/>
  <c r="B81" i="8"/>
  <c r="B78" i="8"/>
  <c r="B79" i="8" s="1"/>
  <c r="B71" i="8"/>
  <c r="B69" i="8"/>
  <c r="B67" i="8"/>
  <c r="B70" i="8" s="1"/>
  <c r="B64" i="8"/>
  <c r="B65" i="8" s="1"/>
  <c r="B57" i="8"/>
  <c r="B55" i="8"/>
  <c r="B53" i="8"/>
  <c r="B56" i="8" s="1"/>
  <c r="B50" i="8"/>
  <c r="B51" i="8" s="1"/>
  <c r="B43" i="8"/>
  <c r="B41" i="8"/>
  <c r="B39" i="8"/>
  <c r="B36" i="8"/>
  <c r="B37" i="8" s="1"/>
  <c r="B29" i="8"/>
  <c r="B27" i="8"/>
  <c r="B25" i="8"/>
  <c r="B28" i="8" s="1"/>
  <c r="B22" i="8"/>
  <c r="B23" i="8" s="1"/>
  <c r="B15" i="8"/>
  <c r="B13" i="8"/>
  <c r="B11" i="8"/>
  <c r="B14" i="8" s="1"/>
  <c r="B8" i="8"/>
  <c r="B9" i="8" s="1"/>
  <c r="B11" i="7"/>
  <c r="B10" i="7"/>
  <c r="B9" i="7"/>
  <c r="B8" i="7"/>
  <c r="B7" i="7"/>
  <c r="B6" i="7"/>
  <c r="B5" i="7"/>
  <c r="N17" i="6"/>
  <c r="H17" i="6"/>
  <c r="F17" i="6"/>
  <c r="C17" i="6"/>
  <c r="N16" i="6"/>
  <c r="H16" i="6"/>
  <c r="F16" i="6"/>
  <c r="C16" i="6"/>
  <c r="D16" i="6" s="1"/>
  <c r="N15" i="6"/>
  <c r="H15" i="6"/>
  <c r="F15" i="6"/>
  <c r="C15" i="6"/>
  <c r="N14" i="6"/>
  <c r="H14" i="6"/>
  <c r="F14" i="6"/>
  <c r="D14" i="6"/>
  <c r="C14" i="6"/>
  <c r="N13" i="6"/>
  <c r="H13" i="6"/>
  <c r="F13" i="6"/>
  <c r="C13" i="6"/>
  <c r="D13" i="6" s="1"/>
  <c r="N12" i="6"/>
  <c r="H12" i="6"/>
  <c r="F12" i="6"/>
  <c r="C12" i="6"/>
  <c r="D12" i="6" s="1"/>
  <c r="N11" i="6"/>
  <c r="H11" i="6"/>
  <c r="F11" i="6"/>
  <c r="C11" i="6"/>
  <c r="N10" i="6"/>
  <c r="H10" i="6"/>
  <c r="F10" i="6"/>
  <c r="D10" i="6"/>
  <c r="C10" i="6"/>
  <c r="N9" i="6"/>
  <c r="H9" i="6"/>
  <c r="F9" i="6"/>
  <c r="C9" i="6"/>
  <c r="D9" i="6" s="1"/>
  <c r="N8" i="6"/>
  <c r="H8" i="6"/>
  <c r="F8" i="6"/>
  <c r="C8" i="6"/>
  <c r="D8" i="6" s="1"/>
  <c r="N7" i="6"/>
  <c r="H7" i="6"/>
  <c r="F7" i="6"/>
  <c r="C7" i="6"/>
  <c r="N6" i="6"/>
  <c r="H6" i="6"/>
  <c r="F6" i="6"/>
  <c r="D6" i="6"/>
  <c r="C6" i="6"/>
  <c r="H5" i="6"/>
  <c r="F5" i="6"/>
  <c r="F18" i="6" s="1"/>
  <c r="C5" i="6"/>
  <c r="D5" i="6" s="1"/>
  <c r="C19" i="5"/>
  <c r="B19" i="5"/>
  <c r="C18" i="5"/>
  <c r="B18" i="5"/>
  <c r="C6" i="5"/>
  <c r="C7" i="5" s="1"/>
  <c r="B6" i="5"/>
  <c r="B7" i="5" s="1"/>
  <c r="D9" i="4"/>
  <c r="C9" i="4"/>
  <c r="B9" i="4"/>
  <c r="D8" i="4"/>
  <c r="C8" i="4"/>
  <c r="B8" i="4"/>
  <c r="E8" i="4" s="1"/>
  <c r="F8" i="4" s="1"/>
  <c r="H8" i="4" s="1"/>
  <c r="H12" i="4" s="1"/>
  <c r="D7" i="4"/>
  <c r="C7" i="4"/>
  <c r="B7" i="4"/>
  <c r="D6" i="4"/>
  <c r="C6" i="4"/>
  <c r="B6" i="4"/>
  <c r="D5" i="4"/>
  <c r="C5" i="4"/>
  <c r="B5" i="4"/>
  <c r="E5" i="4" s="1"/>
  <c r="F5" i="4" s="1"/>
  <c r="H5" i="4" s="1"/>
  <c r="F17" i="3"/>
  <c r="F16" i="3"/>
  <c r="F15" i="3"/>
  <c r="F14" i="3"/>
  <c r="D13" i="3"/>
  <c r="F13" i="3" s="1"/>
  <c r="D12" i="3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B55" i="2"/>
  <c r="B53" i="2"/>
  <c r="B54" i="2" s="1"/>
  <c r="N5" i="6" s="1"/>
  <c r="B52" i="2"/>
  <c r="R17" i="6" s="1"/>
  <c r="B51" i="2"/>
  <c r="H14" i="4" s="1"/>
  <c r="B48" i="2"/>
  <c r="B49" i="2" s="1"/>
  <c r="H18" i="6" l="1"/>
  <c r="E11" i="6"/>
  <c r="G11" i="6" s="1"/>
  <c r="B42" i="8"/>
  <c r="B84" i="8"/>
  <c r="E6" i="4"/>
  <c r="F6" i="4" s="1"/>
  <c r="H6" i="4" s="1"/>
  <c r="E17" i="6"/>
  <c r="G17" i="6" s="1"/>
  <c r="N18" i="6"/>
  <c r="B50" i="2"/>
  <c r="I9" i="6" s="1"/>
  <c r="E9" i="4"/>
  <c r="F9" i="4" s="1"/>
  <c r="H9" i="4" s="1"/>
  <c r="H13" i="4" s="1"/>
  <c r="E7" i="6"/>
  <c r="G7" i="6" s="1"/>
  <c r="E15" i="6"/>
  <c r="G15" i="6" s="1"/>
  <c r="E7" i="4"/>
  <c r="F7" i="4" s="1"/>
  <c r="H7" i="4" s="1"/>
  <c r="C8" i="5"/>
  <c r="C9" i="5" s="1"/>
  <c r="B8" i="5"/>
  <c r="B9" i="5" s="1"/>
  <c r="I14" i="6"/>
  <c r="I6" i="6"/>
  <c r="B20" i="5"/>
  <c r="I5" i="6"/>
  <c r="I7" i="6"/>
  <c r="C20" i="5"/>
  <c r="E6" i="6"/>
  <c r="G6" i="6" s="1"/>
  <c r="E8" i="6"/>
  <c r="G8" i="6" s="1"/>
  <c r="E10" i="6"/>
  <c r="G10" i="6" s="1"/>
  <c r="E12" i="6"/>
  <c r="G12" i="6" s="1"/>
  <c r="E14" i="6"/>
  <c r="G14" i="6" s="1"/>
  <c r="E16" i="6"/>
  <c r="G16" i="6" s="1"/>
  <c r="R6" i="6"/>
  <c r="R8" i="6"/>
  <c r="R10" i="6"/>
  <c r="R12" i="6"/>
  <c r="R14" i="6"/>
  <c r="R16" i="6"/>
  <c r="D7" i="6"/>
  <c r="D11" i="6"/>
  <c r="I11" i="6" s="1"/>
  <c r="D15" i="6"/>
  <c r="I15" i="6" s="1"/>
  <c r="D17" i="6"/>
  <c r="I17" i="6" s="1"/>
  <c r="E5" i="6"/>
  <c r="E9" i="6"/>
  <c r="G9" i="6" s="1"/>
  <c r="E13" i="6"/>
  <c r="G13" i="6" s="1"/>
  <c r="R5" i="6"/>
  <c r="R7" i="6"/>
  <c r="R9" i="6"/>
  <c r="R11" i="6"/>
  <c r="R13" i="6"/>
  <c r="R15" i="6"/>
  <c r="I16" i="6" l="1"/>
  <c r="I13" i="6"/>
  <c r="I8" i="6"/>
  <c r="I18" i="6" s="1"/>
  <c r="I10" i="6"/>
  <c r="I12" i="6"/>
  <c r="B10" i="5"/>
  <c r="B11" i="5" s="1"/>
  <c r="B12" i="5" s="1"/>
  <c r="B14" i="5"/>
  <c r="B13" i="5"/>
  <c r="C10" i="5"/>
  <c r="C14" i="5"/>
  <c r="C13" i="5"/>
  <c r="G5" i="6"/>
  <c r="E18" i="6"/>
  <c r="J5" i="6"/>
  <c r="B16" i="5" l="1"/>
  <c r="B17" i="5" s="1"/>
  <c r="B22" i="5" s="1"/>
  <c r="B21" i="5"/>
  <c r="C11" i="5"/>
  <c r="C12" i="5" s="1"/>
  <c r="J6" i="6"/>
  <c r="K5" i="6"/>
  <c r="G18" i="6"/>
  <c r="C16" i="5" l="1"/>
  <c r="C17" i="5" s="1"/>
  <c r="C22" i="5" s="1"/>
  <c r="C21" i="5"/>
  <c r="K6" i="6"/>
  <c r="L6" i="6" s="1"/>
  <c r="J7" i="6"/>
  <c r="L5" i="6"/>
  <c r="M6" i="6" l="1"/>
  <c r="O6" i="6" s="1"/>
  <c r="P6" i="6" s="1"/>
  <c r="J8" i="6"/>
  <c r="K7" i="6"/>
  <c r="L7" i="6" s="1"/>
  <c r="M5" i="6"/>
  <c r="T6" i="6" l="1"/>
  <c r="S6" i="6"/>
  <c r="O5" i="6"/>
  <c r="M7" i="6"/>
  <c r="O7" i="6" s="1"/>
  <c r="P7" i="6" s="1"/>
  <c r="K8" i="6"/>
  <c r="L8" i="6" s="1"/>
  <c r="J9" i="6"/>
  <c r="S7" i="6" l="1"/>
  <c r="T7" i="6"/>
  <c r="J10" i="6"/>
  <c r="K9" i="6"/>
  <c r="L9" i="6" s="1"/>
  <c r="P5" i="6"/>
  <c r="M8" i="6"/>
  <c r="O8" i="6" s="1"/>
  <c r="P8" i="6" l="1"/>
  <c r="Q5" i="6"/>
  <c r="T5" i="6"/>
  <c r="S5" i="6"/>
  <c r="M9" i="6"/>
  <c r="K10" i="6"/>
  <c r="J11" i="6"/>
  <c r="L10" i="6" l="1"/>
  <c r="O9" i="6"/>
  <c r="Q6" i="6"/>
  <c r="Q7" i="6" s="1"/>
  <c r="Q8" i="6" s="1"/>
  <c r="J12" i="6"/>
  <c r="K11" i="6"/>
  <c r="L11" i="6" s="1"/>
  <c r="T8" i="6"/>
  <c r="S8" i="6"/>
  <c r="M11" i="6" l="1"/>
  <c r="O11" i="6" s="1"/>
  <c r="P11" i="6" s="1"/>
  <c r="P9" i="6"/>
  <c r="M10" i="6"/>
  <c r="O10" i="6"/>
  <c r="P10" i="6" s="1"/>
  <c r="K12" i="6"/>
  <c r="L12" i="6" s="1"/>
  <c r="J13" i="6"/>
  <c r="S11" i="6" l="1"/>
  <c r="T11" i="6"/>
  <c r="M12" i="6"/>
  <c r="O12" i="6" s="1"/>
  <c r="S9" i="6"/>
  <c r="T9" i="6"/>
  <c r="Q9" i="6"/>
  <c r="T10" i="6"/>
  <c r="S10" i="6"/>
  <c r="J14" i="6"/>
  <c r="K13" i="6"/>
  <c r="L13" i="6" s="1"/>
  <c r="P12" i="6" l="1"/>
  <c r="Q10" i="6"/>
  <c r="Q11" i="6" s="1"/>
  <c r="M13" i="6"/>
  <c r="O13" i="6" s="1"/>
  <c r="P13" i="6" s="1"/>
  <c r="K14" i="6"/>
  <c r="L14" i="6" s="1"/>
  <c r="J15" i="6"/>
  <c r="Q12" i="6" l="1"/>
  <c r="Q13" i="6" s="1"/>
  <c r="S13" i="6"/>
  <c r="T13" i="6"/>
  <c r="M14" i="6"/>
  <c r="O14" i="6" s="1"/>
  <c r="P14" i="6" s="1"/>
  <c r="J16" i="6"/>
  <c r="K15" i="6"/>
  <c r="L15" i="6" s="1"/>
  <c r="T12" i="6"/>
  <c r="S12" i="6"/>
  <c r="S14" i="6" l="1"/>
  <c r="T14" i="6"/>
  <c r="Q14" i="6"/>
  <c r="K16" i="6"/>
  <c r="L16" i="6" s="1"/>
  <c r="J17" i="6"/>
  <c r="K17" i="6" s="1"/>
  <c r="M15" i="6"/>
  <c r="O15" i="6" s="1"/>
  <c r="P15" i="6" s="1"/>
  <c r="S15" i="6" l="1"/>
  <c r="T15" i="6"/>
  <c r="M16" i="6"/>
  <c r="O16" i="6"/>
  <c r="P16" i="6" s="1"/>
  <c r="Q15" i="6"/>
  <c r="L17" i="6"/>
  <c r="K18" i="6"/>
  <c r="M17" i="6" l="1"/>
  <c r="M18" i="6" s="1"/>
  <c r="L18" i="6"/>
  <c r="Q16" i="6"/>
  <c r="S16" i="6"/>
  <c r="T16" i="6"/>
  <c r="O17" i="6" l="1"/>
  <c r="F30" i="6" l="1"/>
  <c r="C10" i="7"/>
  <c r="C7" i="7"/>
  <c r="C9" i="7"/>
  <c r="C6" i="7"/>
  <c r="C11" i="7"/>
  <c r="C8" i="7"/>
  <c r="C5" i="7"/>
  <c r="P17" i="6"/>
  <c r="O18" i="6"/>
  <c r="F28" i="6" s="1"/>
  <c r="F29" i="6" s="1"/>
  <c r="E11" i="7" l="1"/>
  <c r="D11" i="7"/>
  <c r="S17" i="6"/>
  <c r="T17" i="6"/>
  <c r="F25" i="6" s="1"/>
  <c r="F24" i="6"/>
  <c r="F23" i="6"/>
  <c r="P18" i="6"/>
  <c r="Q17" i="6"/>
  <c r="E5" i="7"/>
  <c r="D5" i="7"/>
  <c r="E8" i="7"/>
  <c r="D8" i="7"/>
  <c r="E6" i="7"/>
  <c r="D6" i="7"/>
  <c r="E9" i="7"/>
  <c r="D9" i="7"/>
  <c r="E7" i="7"/>
  <c r="D7" i="7"/>
  <c r="E10" i="7"/>
  <c r="D10" i="7"/>
  <c r="F26" i="6" l="1"/>
  <c r="F27" i="6"/>
  <c r="F21" i="6"/>
  <c r="F22" i="6" s="1"/>
  <c r="S18" i="6"/>
</calcChain>
</file>

<file path=xl/sharedStrings.xml><?xml version="1.0" encoding="utf-8"?>
<sst xmlns="http://schemas.openxmlformats.org/spreadsheetml/2006/main" count="425" uniqueCount="307">
  <si>
    <t>Zaqora (concepto Ghost Engine) - Modelo económico, semana 7</t>
  </si>
  <si>
    <t>Proyecto de Ingeniería IV · David López Ramírez · Octubre 2026</t>
  </si>
  <si>
    <t>Qué contiene</t>
  </si>
  <si>
    <t>Supuestos: todos los datos de entrada en un solo lugar. Cambia aquí y todo el libro se recalcula.</t>
  </si>
  <si>
    <t>BOM: el «BOM» de un producto sin hardware: cada servicio con su especificación, precio, proveedor y estado de verificación.</t>
  </si>
  <si>
    <t>Costo IA: llamadas × tokens × precio × usuarios, con la arquitectura real (el LLM solo narra; Stockfish analiza).</t>
  </si>
  <si>
    <t>Costo unitario: costo por usuario activo a 10 y a 100 usuarios, con overhead (15 %) y contingencia (25 %), y precios cost-plus y value-based.</t>
  </si>
  <si>
    <t>Flujo de caja: 12 meses, mes a mes, con inversión en el mes 0, VPN al 15 % anual y TIR.</t>
  </si>
  <si>
    <t>Sensibilidad: cuántos usuarios de pago hacen falta según el precio. Ejercicios: ejercicios 4–9 de la clase (VPN y TIR).</t>
  </si>
  <si>
    <t>Código de colores</t>
  </si>
  <si>
    <t>Texto azul: dato de entrada que puedes cambiar. Texto negro: fórmula. Texto verde: referencia a otra hoja.</t>
  </si>
  <si>
    <t>Fondo amarillo: supuesto clave o dato pendiente. Fondo verde: precio verificado en la página oficial el 08/10/2026.</t>
  </si>
  <si>
    <t>Decisiones y palancas (hoja Supuestos)</t>
  </si>
  <si>
    <t>Cuenta de Google Play: DECIDIDO, el piloto la incluye.</t>
  </si>
  <si>
    <t>Licencias B2B2C: DECIDIDO, el escenario base no las cuenta; la meta es 1 academia piloto desde el mes 7, sin dashboard.</t>
  </si>
  <si>
    <t>Tope de capítulos al mes del plan gratuito (20 = sin tope, como en el modelo del profesor; 5 = tope recomendado).</t>
  </si>
  <si>
    <t>Fuentes</t>
  </si>
  <si>
    <t>Costos del piloto, consumo de tokens y volumen: documentos del equipo (arquitectura de la semana 5 y prompt del modelo económico de la semana 7).</t>
  </si>
  <si>
    <t>Precio de Claude Haiku 4.5 (US$1 entrada / US$5 salida por millón de tokens): lista de precios de Anthropic, anthropic.com/pricing. Verificar antes de entregar.</t>
  </si>
  <si>
    <t>Comisión de pasarela (3.6 % + $3 MXN + IVA): citada en la respuesta del modelo económico para Stripe México. Verificar en la página oficial del proveedor.</t>
  </si>
  <si>
    <t>Tipo de cambio de referencia: 18.5 MXN/USD (el mismo del PDS de la semana 5); orientativo, no es un supuesto financiero.</t>
  </si>
  <si>
    <t>Diferencias con la respuesta de la IA (semana 7, Paso 2)</t>
  </si>
  <si>
    <t>Este libro reconstruye el modelo con fórmulas visibles. Algunas cifras difieren de la respuesta de la IA porque aquí cada supuesto es explícito:</t>
  </si>
  <si>
    <t>los créditos de API se consumen mes a mes hasta agotarse, y el precio cost-plus al público se calcula despejando IVA y comisión exactos.</t>
  </si>
  <si>
    <t>Supuestos del modelo</t>
  </si>
  <si>
    <t>Azul = dato de entrada editable · Negro = fórmula · Amarillo = supuesto clave o por verificar</t>
  </si>
  <si>
    <t>Supuesto</t>
  </si>
  <si>
    <t>Valor</t>
  </si>
  <si>
    <t>Unidad / fuente</t>
  </si>
  <si>
    <t>Generales</t>
  </si>
  <si>
    <t>Tipo de cambio</t>
  </si>
  <si>
    <t>MXN por USD. FIX de Banxico: 17.978 (07/10/2026). Se usa 18.5 como colchón conservador (~3 %)</t>
  </si>
  <si>
    <t>IVA</t>
  </si>
  <si>
    <t>Incluido en el precio al consumidor</t>
  </si>
  <si>
    <t>Comisión de pasarela (%)</t>
  </si>
  <si>
    <t>VERIFICADO 08/10/2026: stripe.com/mx/pricing, tarjetas nacionales 3.6 % + MXN 3.00; las comisiones excluyen IVA</t>
  </si>
  <si>
    <t>Comisión de pasarela fija por cobro</t>
  </si>
  <si>
    <t>VERIFICADO 08/10/2026: stripe.com/mx/pricing; más IVA sobre la comisión</t>
  </si>
  <si>
    <t>Overhead</t>
  </si>
  <si>
    <t>Indicado por el curso</t>
  </si>
  <si>
    <t>Contingencias</t>
  </si>
  <si>
    <t>Indicado por el curso (rango 25–40 %)</t>
  </si>
  <si>
    <t>Tasa de descuento anual</t>
  </si>
  <si>
    <t>Costo de oportunidad indicado por el curso</t>
  </si>
  <si>
    <t>Precio y conversión</t>
  </si>
  <si>
    <t>Precio de suscripción (con IVA)</t>
  </si>
  <si>
    <t>MXN/mes; precio recomendado en el modelo económico</t>
  </si>
  <si>
    <t>Precio value-based (techo)</t>
  </si>
  <si>
    <t>MXN/mes; techo estimado en el modelo económico</t>
  </si>
  <si>
    <t>Margen cost-plus (sobre precio neto)</t>
  </si>
  <si>
    <t>Conversión de gratis a pago</t>
  </si>
  <si>
    <t>Escenario conservador: el freemium suele convertir 2–5 %</t>
  </si>
  <si>
    <t>Mes en que se activa el cobro</t>
  </si>
  <si>
    <t>Cuando ya hay patrones para personalizar; nunca justo tras una derrota</t>
  </si>
  <si>
    <t>Inteligencia artificial (narrador)</t>
  </si>
  <si>
    <t>Precio de entrada (Claude Haiku 4.5)</t>
  </si>
  <si>
    <t>VERIFICADO 08/10/2026: platform.claude.com/docs/en/about-claude/pricing: US$1 / MTok (Haiku 4.5, modelo heredado)</t>
  </si>
  <si>
    <t>Precio de salida (Claude Haiku 4.5)</t>
  </si>
  <si>
    <t>VERIFICADO 08/10/2026: platform.claude.com/docs/en/about-claude/pricing: US$5 / MTok</t>
  </si>
  <si>
    <t>Tokens de entrada por capítulo</t>
  </si>
  <si>
    <t>Estimado del equipo (arquitectura, semana 5)</t>
  </si>
  <si>
    <t>Tokens de salida por capítulo</t>
  </si>
  <si>
    <t>Tokens adicionales por español</t>
  </si>
  <si>
    <t>Indicado por el curso: el español usa ~30 % más tokens</t>
  </si>
  <si>
    <t>Capítulos al mes por usuario de pago</t>
  </si>
  <si>
    <t>Estimado del equipo (≈ 0.7 al día)</t>
  </si>
  <si>
    <t>Capítulos al mes por usuario gratuito (tope)</t>
  </si>
  <si>
    <t>PALANCA: 20 = sin tope (base del profesor); 5 = tope recomendado</t>
  </si>
  <si>
    <t>Infraestructura cloud</t>
  </si>
  <si>
    <t>Worker con Stockfish (beta)</t>
  </si>
  <si>
    <t>VERIFICADO 08/10/2026: railway.com/pricing: plan Hobby US$5/mes con US$5 de uso incluido; el uso extra se cobra aparte (~US$20 por vCPU al mes en uso continuo)</t>
  </si>
  <si>
    <t>Supabase (beta)</t>
  </si>
  <si>
    <t>VERIFICADO 08/10/2026: supabase.com/pricing: plan Free US$0 (50,000 MAU, 500 MB); pausa proyectos tras 1 semana de inactividad</t>
  </si>
  <si>
    <t>Meses de worker prepagados en el piloto</t>
  </si>
  <si>
    <t>Incluidos en la inversión inicial</t>
  </si>
  <si>
    <t>Worker a 100 usuarios</t>
  </si>
  <si>
    <t>US$/mes; supuesto del modelo económico</t>
  </si>
  <si>
    <t>Supabase Pro a 100 usuarios</t>
  </si>
  <si>
    <t>VERIFICADO 08/10/2026: supabase.com/pricing: plan Pro desde US$25/mes (100,000 MAU, 8 GB)</t>
  </si>
  <si>
    <t>Inversión del piloto (mes 0)</t>
  </si>
  <si>
    <t>Incluir cuenta de Google Play (1 = sí, 0 = no)</t>
  </si>
  <si>
    <t>DECIDIDO: el piloto incluye cuenta de Google Play (1)</t>
  </si>
  <si>
    <t>Cuenta de desarrollador de Google Play</t>
  </si>
  <si>
    <t>VERIFICADO 08/10/2026: support.google.com/googleplay/android-developer: pago único de US$25</t>
  </si>
  <si>
    <t>Dominio .com (1 año)</t>
  </si>
  <si>
    <t>VERIFICADO 08/10/2026: porkbun.com: .com US$11.08 registro y renovación (.mx: US$35.57)</t>
  </si>
  <si>
    <t>Créditos de API del LLM (prepago)</t>
  </si>
  <si>
    <t>US$; se consumen mes a mes hasta agotarse</t>
  </si>
  <si>
    <t>B2B2C (academias y entrenadores)</t>
  </si>
  <si>
    <t>Licencias de academia activas</t>
  </si>
  <si>
    <t>DECIDIDO: 0 en el escenario base (no se cuenta un ingreso sin firmar); meta: 1 academia piloto desde el mes 7, sin dashboard</t>
  </si>
  <si>
    <t>Precio por licencia (sin IVA)</t>
  </si>
  <si>
    <t>MXN/mes; rango sugerido $500–1,500</t>
  </si>
  <si>
    <t>Mes de inicio de las licencias</t>
  </si>
  <si>
    <t>Mes objetivo de la academia piloto (tras 3 meses de datos B2C)</t>
  </si>
  <si>
    <t>Cálculos derivados</t>
  </si>
  <si>
    <t>Costo de IA por capítulo</t>
  </si>
  <si>
    <t>US$</t>
  </si>
  <si>
    <t>Costo de IA por usuario de pago al mes</t>
  </si>
  <si>
    <t>MXN</t>
  </si>
  <si>
    <t>Costo de IA por usuario gratuito al mes</t>
  </si>
  <si>
    <t>Ingreso neto por suscriptor al mes</t>
  </si>
  <si>
    <t>MXN: precio sin IVA menos comisión de pasarela con IVA</t>
  </si>
  <si>
    <t>Tasa de descuento mensual</t>
  </si>
  <si>
    <t>Equivalente mensual de la tasa anual</t>
  </si>
  <si>
    <t>Créditos de API en pesos</t>
  </si>
  <si>
    <t>Inversión inicial del piloto</t>
  </si>
  <si>
    <t>MXN: Google Play + dominio + créditos + worker prepagado</t>
  </si>
  <si>
    <t>Factor de overhead y contingencia</t>
  </si>
  <si>
    <t>Contingencia sobre (costo + overhead)</t>
  </si>
  <si>
    <t>«BOM» de Zaqora: servicios por usuario y costos fijos</t>
  </si>
  <si>
    <t>Zaqora no tiene hardware: cada «componente» es un servicio. Precios verificados en las páginas oficiales el 08/10/2026 (fondo verde).</t>
  </si>
  <si>
    <t>Componente</t>
  </si>
  <si>
    <t>Especificación</t>
  </si>
  <si>
    <t>Proveedor</t>
  </si>
  <si>
    <t>Precio unitario</t>
  </si>
  <si>
    <t>Unidad</t>
  </si>
  <si>
    <t>Precio en MXN</t>
  </si>
  <si>
    <t>Tipo</t>
  </si>
  <si>
    <t>Fuente / estado</t>
  </si>
  <si>
    <t>Tiempo de entrega (alta o activación)</t>
  </si>
  <si>
    <t>LLM narrador (entrada)</t>
  </si>
  <si>
    <t>Claude Haiku 4.5, salida JSON; solo narra</t>
  </si>
  <si>
    <t>Anthropic</t>
  </si>
  <si>
    <t>US$ / millón de tokens</t>
  </si>
  <si>
    <t>Variable</t>
  </si>
  <si>
    <t>VERIFICADO 08/10/2026: platform.claude.com (precio de lista)</t>
  </si>
  <si>
    <t>Inmediato (clave de API al crear la cuenta)</t>
  </si>
  <si>
    <t>LLM narrador (salida)</t>
  </si>
  <si>
    <t>Claude Haiku 4.5</t>
  </si>
  <si>
    <t>Worker de análisis</t>
  </si>
  <si>
    <t>Python + Stockfish, compartido</t>
  </si>
  <si>
    <t>Railway (plan Hobby)</t>
  </si>
  <si>
    <t>US$ / mes</t>
  </si>
  <si>
    <t>Fijo</t>
  </si>
  <si>
    <t>VERIFICADO 08/10/2026: railway.com/pricing (Hobby, incluye US$5 de uso)</t>
  </si>
  <si>
    <t>Inmediato (despliegue en minutos)</t>
  </si>
  <si>
    <t>Base de datos y autenticación</t>
  </si>
  <si>
    <t>Postgres + Auth + Edge Functions (beta)</t>
  </si>
  <si>
    <t>Supabase (gratuito)</t>
  </si>
  <si>
    <t>VERIFICADO 08/10/2026: supabase.com/pricing (Free; pausa tras 1 semana sin uso)</t>
  </si>
  <si>
    <t>Inmediato</t>
  </si>
  <si>
    <t>Base de datos a escala</t>
  </si>
  <si>
    <t>Supabase Pro (100+ usuarios)</t>
  </si>
  <si>
    <t>Supabase</t>
  </si>
  <si>
    <t>VERIFICADO 08/10/2026: supabase.com/pricing</t>
  </si>
  <si>
    <t>Inmediato (cambio de plan)</t>
  </si>
  <si>
    <t>Dominio .com</t>
  </si>
  <si>
    <t>Dominio para la landing</t>
  </si>
  <si>
    <t>Porkbun</t>
  </si>
  <si>
    <t>US$ / año</t>
  </si>
  <si>
    <t>VERIFICADO 08/10/2026: porkbun.com (.com US$11.08 registro y renovación)</t>
  </si>
  <si>
    <t>Minutos (registro y DNS)</t>
  </si>
  <si>
    <t>Cuenta de Google Play</t>
  </si>
  <si>
    <t>Solo si se publica como TWA</t>
  </si>
  <si>
    <t>Google</t>
  </si>
  <si>
    <t>US$ pago único</t>
  </si>
  <si>
    <t>VERIFICADO 08/10/2026: support.google.com/googleplay (pago único)</t>
  </si>
  <si>
    <t>Supuesto: 1–2 semanas. Exige verificación de identidad (ID oficial y tarjeta); Google no publica un plazo</t>
  </si>
  <si>
    <t>Pasarela de pago (%)</t>
  </si>
  <si>
    <t>Cobro web con tarjeta</t>
  </si>
  <si>
    <t>Stripe México</t>
  </si>
  <si>
    <t>% por cobro</t>
  </si>
  <si>
    <t>-</t>
  </si>
  <si>
    <t>VERIFICADO 08/10/2026: stripe.com/mx/pricing (excluye IVA)</t>
  </si>
  <si>
    <t>Inmediato en modo de prueba; cobros reales tras verificar la cuenta (KYC)</t>
  </si>
  <si>
    <t>Pasarela de pago (fija)</t>
  </si>
  <si>
    <t>MXN por cobro</t>
  </si>
  <si>
    <t>Igual que la fila anterior</t>
  </si>
  <si>
    <t>Hosting de la PWA y la landing</t>
  </si>
  <si>
    <t>Sitio estático / PWA y landing</t>
  </si>
  <si>
    <t>Cloudflare Pages (plan gratuito)</t>
  </si>
  <si>
    <t>VERIFICADO 08/10/2026: developers.cloudflare.com/pages/platform/limits (500 builds/mes, 20,000 archivos). Vercel Hobby se descartó: solo uso personal no comercial</t>
  </si>
  <si>
    <t>LLM alternativo (entrada)</t>
  </si>
  <si>
    <t>Claude Haiku 5.5, prompts ≤ 100k tokens; tokenizador nuevo (~30 % más tokens)</t>
  </si>
  <si>
    <t>VERIFICADO 08/10/2026: platform.claude.com · alternativa a evaluar</t>
  </si>
  <si>
    <t>LLM alternativo (salida)</t>
  </si>
  <si>
    <t>Claude Haiku 5.5</t>
  </si>
  <si>
    <t>Descuento Batch API (Haiku 4.5)</t>
  </si>
  <si>
    <t>Capítulos no urgentes: entrada / salida</t>
  </si>
  <si>
    <t>US$ / millón (entrada); salida US$2.50</t>
  </si>
  <si>
    <t>VERIFICADO 08/10/2026: platform.claude.com (50 % de descuento)</t>
  </si>
  <si>
    <t>Inmediato; los resultados del lote llegan en horas</t>
  </si>
  <si>
    <t>Los precios activos del modelo se editan en la hoja Supuestos (texto verde = viene de otra hoja). Filas 15–17: alternativas verificadas, no usadas en el escenario base. En servicios, el «tiempo de entrega» es el tiempo de alta o activación.</t>
  </si>
  <si>
    <t>Costo mensual de la IA</t>
  </si>
  <si>
    <t>Costo mensual = llamadas al mes × (tokens de entrada × precio + tokens de salida × precio) × (1 + 30 % por español) × usuarios</t>
  </si>
  <si>
    <t>Escenario</t>
  </si>
  <si>
    <t>Llamadas al día</t>
  </si>
  <si>
    <t>Tokens entrada</t>
  </si>
  <si>
    <t>Tokens salida</t>
  </si>
  <si>
    <t>Costo por usuario (US$)</t>
  </si>
  <si>
    <t>Costo por usuario (MXN)</t>
  </si>
  <si>
    <t>Usuarios</t>
  </si>
  <si>
    <t>Costo mensual (MXN)</t>
  </si>
  <si>
    <t>Usuario de pago, 20 beta</t>
  </si>
  <si>
    <t>Usuario de pago, 100 usuarios</t>
  </si>
  <si>
    <t>Usuario de pago, 1,200 clientes (SOM)</t>
  </si>
  <si>
    <t>Usuario gratuito (con el tope de Supuestos)</t>
  </si>
  <si>
    <t>Usuario gratuito con tope de 5 capítulos</t>
  </si>
  <si>
    <t>Las 19 cuentas gratuitas corresponden a un suscriptor con 5 % de conversión (1 de pago por cada 19 gratuitos).</t>
  </si>
  <si>
    <t>Carga de IA de los gratuitos por cada suscriptor (sin tope)</t>
  </si>
  <si>
    <t>Carga de IA de los gratuitos por cada suscriptor (tope de 5)</t>
  </si>
  <si>
    <t>Ingreso neto que deja cada suscriptor</t>
  </si>
  <si>
    <t>Costo unitario y precio de venta</t>
  </si>
  <si>
    <t>Costo por usuario activo al mes. Overhead sobre el costo directo; contingencia sobre (costo directo + overhead).</t>
  </si>
  <si>
    <t>Concepto</t>
  </si>
  <si>
    <t>10 usuarios</t>
  </si>
  <si>
    <t>100 usuarios</t>
  </si>
  <si>
    <t>Cómo se calcula</t>
  </si>
  <si>
    <t>Usuarios activos</t>
  </si>
  <si>
    <t>Volumen de prueba de mercado y de escala inicial</t>
  </si>
  <si>
    <t>Cloud total (US$/mes)</t>
  </si>
  <si>
    <t>Worker + Supabase de cada escala</t>
  </si>
  <si>
    <t>Cloud por usuario</t>
  </si>
  <si>
    <t>Costo fijo repartido entre usuarios</t>
  </si>
  <si>
    <t>IA por usuario</t>
  </si>
  <si>
    <t>Hoja Supuestos (uso de un usuario de pago)</t>
  </si>
  <si>
    <t>Costo directo</t>
  </si>
  <si>
    <t>Cloud + IA</t>
  </si>
  <si>
    <t>15 % del costo directo</t>
  </si>
  <si>
    <t>Contingencia</t>
  </si>
  <si>
    <t>25 % de (directo + overhead)</t>
  </si>
  <si>
    <t>COSTO UNITARIO</t>
  </si>
  <si>
    <t>MXN por usuario activo al mes</t>
  </si>
  <si>
    <t>Peso de la IA en el costo directo</t>
  </si>
  <si>
    <t>Peso del cloud en el costo directo</t>
  </si>
  <si>
    <t>Precio cost-plus neto (40 % de margen)</t>
  </si>
  <si>
    <t>Costo unitario / (1 − margen)</t>
  </si>
  <si>
    <t>Precio cost-plus al público</t>
  </si>
  <si>
    <t>Precio con IVA que deja ese neto tras la comisión</t>
  </si>
  <si>
    <t>Estimado; disposición de pago no verificada</t>
  </si>
  <si>
    <t>Precio recomendado (con IVA)</t>
  </si>
  <si>
    <t>Entre cost-plus y value-based</t>
  </si>
  <si>
    <t>Ingreso neto por suscriptor</t>
  </si>
  <si>
    <t>Sin IVA ni comisión</t>
  </si>
  <si>
    <t>Ingreso neto / costo unitario</t>
  </si>
  <si>
    <t>Veces que el ingreso cubre el costo</t>
  </si>
  <si>
    <t>¿Precio recomendado entre cost-plus y value-based?</t>
  </si>
  <si>
    <t>Validación pedida por el curso</t>
  </si>
  <si>
    <t>Flujo de caja a 12 meses (MXN)</t>
  </si>
  <si>
    <t>Usuarios activos en azul: plan de volumen del año 1 (prueba de mercado con 20 usuarios beta). Todo lo demás son fórmulas.</t>
  </si>
  <si>
    <t>Mes</t>
  </si>
  <si>
    <t>Usuarios de pago</t>
  </si>
  <si>
    <t>Usuarios gratuitos</t>
  </si>
  <si>
    <t>Ingreso suscripciones</t>
  </si>
  <si>
    <t>Ingreso licencias</t>
  </si>
  <si>
    <t>Ingreso total</t>
  </si>
  <si>
    <t>Cloud</t>
  </si>
  <si>
    <t>IA consumida</t>
  </si>
  <si>
    <t>IA acumulada</t>
  </si>
  <si>
    <t>IA pagada (tras créditos)</t>
  </si>
  <si>
    <t>Operación</t>
  </si>
  <si>
    <t>Overhead + contingencia</t>
  </si>
  <si>
    <t>Inversión inicial</t>
  </si>
  <si>
    <t>Egresos totales</t>
  </si>
  <si>
    <t>Flujo neto</t>
  </si>
  <si>
    <t>Flujo acumulado</t>
  </si>
  <si>
    <t>Factor de descuento</t>
  </si>
  <si>
    <t>Flujo descontado</t>
  </si>
  <si>
    <t>Mes con flujo positivo</t>
  </si>
  <si>
    <t>Total</t>
  </si>
  <si>
    <t>Resultados</t>
  </si>
  <si>
    <t>VPN a 12 meses (tasa anual del 15 %)</t>
  </si>
  <si>
    <t>Veredicto</t>
  </si>
  <si>
    <t>TIR mensual</t>
  </si>
  <si>
    <t>TIR anualizada</t>
  </si>
  <si>
    <t>Primer mes con flujo positivo</t>
  </si>
  <si>
    <t>Flujo acumulado al mes 12</t>
  </si>
  <si>
    <t>Inversión acumulada más profunda (valle de caja)</t>
  </si>
  <si>
    <t>Suscriptores necesarios todo el año desde el paywall</t>
  </si>
  <si>
    <t>Conversión que implica sobre los activos del mes 12</t>
  </si>
  <si>
    <t>Suscriptores para cubrir solo la operación del mes 12</t>
  </si>
  <si>
    <t>Sensibilidad al precio</t>
  </si>
  <si>
    <t>Cuántos suscriptores cubren la operación mensual (mes 12 del flujo) según el precio, y qué conversión implica sobre 20 y 100 usuarios.</t>
  </si>
  <si>
    <t>Precio con IVA (MXN/mes)</t>
  </si>
  <si>
    <t>Ingreso neto</t>
  </si>
  <si>
    <t>Suscriptores para cubrir la operación</t>
  </si>
  <si>
    <t>Conversión necesaria con 20 activos</t>
  </si>
  <si>
    <t>Conversión necesaria con 100 activos</t>
  </si>
  <si>
    <t>La operación del mes 12 incluye cloud, IA tras créditos, overhead y contingencia; no incluye sueldos del equipo.</t>
  </si>
  <si>
    <t>Ejercicios 4–9: VPN y TIR (USD)</t>
  </si>
  <si>
    <t>Flujos y tasas en azul. VPN = flujo del año 0 + VPN(tasa; flujos 1..n). TIR interpolada con las tasas r1 y r2; TIR exacta con la función TIR.</t>
  </si>
  <si>
    <t>Ejercicio 4 — InnovaTech</t>
  </si>
  <si>
    <t>Año 0</t>
  </si>
  <si>
    <t>Año 1</t>
  </si>
  <si>
    <t>Año 2</t>
  </si>
  <si>
    <t>Año 3</t>
  </si>
  <si>
    <t>Año 4</t>
  </si>
  <si>
    <t>Año 5</t>
  </si>
  <si>
    <t>Año 6</t>
  </si>
  <si>
    <t>Flujo</t>
  </si>
  <si>
    <t>Tasa de descuento</t>
  </si>
  <si>
    <t>VPN</t>
  </si>
  <si>
    <t>Decisión</t>
  </si>
  <si>
    <t>r1 (VPN positivo)</t>
  </si>
  <si>
    <t>VPN a r1</t>
  </si>
  <si>
    <t>r2 (VPN negativo)</t>
  </si>
  <si>
    <t>VPN a r2</t>
  </si>
  <si>
    <t>TIR por interpolación</t>
  </si>
  <si>
    <t>TIR exacta</t>
  </si>
  <si>
    <t>Ejercicio 5</t>
  </si>
  <si>
    <t>Ejercicio 6 — Maquinaria (año 4 incluye salvamento de 150K)</t>
  </si>
  <si>
    <t>Ejercicio 7 — Proyecto X</t>
  </si>
  <si>
    <t>Ejercicio 7 — Proyecto Y</t>
  </si>
  <si>
    <t>Ejercicio 9 — Global Solutions</t>
  </si>
  <si>
    <t>Ejercicio 8 — Proyecto X a distintas tasas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</si>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</sst>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\$#,##0.00;\(\$#,##0.00\);\-"/>
    <numFmt numFmtId="166" formatCode="#,##0;\(#,##0\);\-"/>
    <numFmt numFmtId="167" formatCode="&quot;US$&quot;#,##0.00;\(&quot;US$&quot;#,##0.00\);\-"/>
    <numFmt numFmtId="168" formatCode="&quot;US$&quot;#,##0.0000;\(&quot;US$&quot;#,##0.0000\);\-"/>
    <numFmt numFmtId="169" formatCode="0.000%"/>
    <numFmt numFmtId="170" formatCode="0.0000"/>
    <numFmt numFmtId="171" formatCode="0.0&quot;x&quot;"/>
    <numFmt numFmtId="172" formatCode="\$#,##0;\(\$#,##0\);\-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b/>
      <sz val="11"/>
      <color rgb="FF000000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3" borderId="0" xfId="0" applyFont="1" applyFill="1"/>
    <xf numFmtId="0" fontId="0" fillId="3" borderId="0" xfId="0" applyFill="1"/>
    <xf numFmtId="2" fontId="5" fillId="0" borderId="0" xfId="0" applyNumberFormat="1" applyFont="1"/>
    <xf numFmtId="164" fontId="5" fillId="0" borderId="0" xfId="0" applyNumberFormat="1" applyFont="1"/>
    <xf numFmtId="164" fontId="5" fillId="4" borderId="0" xfId="0" applyNumberFormat="1" applyFont="1" applyFill="1"/>
    <xf numFmtId="165" fontId="5" fillId="4" borderId="0" xfId="0" applyNumberFormat="1" applyFont="1" applyFill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6" fontId="5" fillId="4" borderId="0" xfId="0" applyNumberFormat="1" applyFont="1" applyFill="1"/>
    <xf numFmtId="167" fontId="5" fillId="0" borderId="0" xfId="0" applyNumberFormat="1" applyFont="1"/>
    <xf numFmtId="1" fontId="5" fillId="4" borderId="0" xfId="0" applyNumberFormat="1" applyFont="1" applyFill="1"/>
    <xf numFmtId="168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2" fontId="2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67" fontId="2" fillId="0" borderId="0" xfId="0" applyNumberFormat="1" applyFont="1"/>
    <xf numFmtId="0" fontId="3" fillId="0" borderId="0" xfId="0" applyFont="1"/>
    <xf numFmtId="165" fontId="7" fillId="0" borderId="0" xfId="0" applyNumberFormat="1" applyFont="1"/>
    <xf numFmtId="164" fontId="2" fillId="0" borderId="0" xfId="0" applyNumberFormat="1" applyFont="1"/>
    <xf numFmtId="171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7" fillId="0" borderId="0" xfId="0" applyFont="1"/>
    <xf numFmtId="164" fontId="7" fillId="0" borderId="0" xfId="0" applyNumberFormat="1" applyFont="1"/>
    <xf numFmtId="1" fontId="7" fillId="0" borderId="0" xfId="0" applyNumberFormat="1" applyFont="1"/>
    <xf numFmtId="166" fontId="7" fillId="0" borderId="0" xfId="0" applyNumberFormat="1" applyFont="1"/>
    <xf numFmtId="172" fontId="5" fillId="0" borderId="0" xfId="0" applyNumberFormat="1" applyFont="1"/>
    <xf numFmtId="0" fontId="8" fillId="0" borderId="0" xfId="0" applyFont="1"/>
    <xf numFmtId="0" fontId="9" fillId="0" borderId="0" xfId="0" applyFont="1"/>
    <xf numFmtId="0" fontId="10" fillId="5" borderId="0" xfId="0" applyFont="1" applyFill="1"/>
    <xf numFmtId="165" fontId="11" fillId="0" borderId="0" xfId="0" applyNumberFormat="1" applyFont="1"/>
    <xf numFmtId="10" fontId="11" fillId="0" borderId="0" xfId="0" applyNumberFormat="1" applyFont="1"/>
    <xf numFmtId="165" fontId="9" fillId="0" borderId="0" xfId="0" applyNumberFormat="1" applyFont="1"/>
    <xf numFmtId="165" fontId="8" fillId="0" borderId="0" xfId="0" applyNumberFormat="1" applyFont="1"/>
    <xf numFmtId="10" fontId="8" fillId="0" borderId="0" xfId="0" applyNumberFormat="1" applyFont="1"/>
    <xf numFmtId="10" fontId="9" fillId="0" borderId="0" xfId="0" applyNumberFormat="1" applyFont="1"/>
    <xf numFmtId="0" fontId="12" fillId="0" borderId="0" xfId="0" applyFont="1" applyAlignment="1">
      <alignment wrapText="1"/>
    </xf>
    <xf numFmtId="0" fontId="12" fillId="0" borderId="0" xfId="0" applyFont="1"/>
    <xf numFmtId="164" fontId="5" fillId="6" borderId="0" xfId="0" applyNumberFormat="1" applyFont="1" applyFill="1"/>
    <xf numFmtId="165" fontId="5" fillId="6" borderId="0" xfId="0" applyNumberFormat="1" applyFont="1" applyFill="1"/>
    <xf numFmtId="167" fontId="5" fillId="6" borderId="0" xfId="0" applyNumberFormat="1" applyFont="1" applyFill="1"/>
    <xf numFmtId="1" fontId="5" fillId="6" borderId="0" xfId="0" applyNumberFormat="1" applyFont="1" applyFill="1"/>
    <xf numFmtId="167" fontId="13" fillId="6" borderId="0" xfId="0" applyNumberFormat="1" applyFont="1" applyFill="1"/>
    <xf numFmtId="167" fontId="6" fillId="6" borderId="0" xfId="0" applyNumberFormat="1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165" fontId="12" fillId="0" borderId="0" xfId="0" applyNumberFormat="1" applyFont="1"/>
    <xf numFmtId="0" fontId="14" fillId="7" borderId="0" xfId="0" applyFont="1" applyFill="1" applyAlignment="1">
      <alignment vertical="center" wrapText="1"/>
    </xf>
    <xf numFmtId="0" fontId="15" fillId="0" borderId="0" xfId="0" applyFont="1" applyAlignment="1">
      <alignment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/>
  </sheetViews>
  <sheetFormatPr baseColWidth="10" defaultColWidth="8.88671875" defaultRowHeight="14.4" x14ac:dyDescent="0.3"/>
  <cols>
    <col min="1" max="1" width="110" customWidth="1"/>
  </cols>
  <sheetData>
    <row r="1" spans="1:1" ht="17.399999999999999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ht="28.2" customHeight="1" x14ac:dyDescent="0.3">
      <c r="A6" s="2" t="s">
        <v>4</v>
      </c>
    </row>
    <row r="7" spans="1:1" x14ac:dyDescent="0.3">
      <c r="A7" s="2" t="s">
        <v>5</v>
      </c>
    </row>
    <row r="8" spans="1:1" ht="28.2" customHeight="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47" t="s">
        <v>8</v>
      </c>
    </row>
    <row r="11" spans="1:1" x14ac:dyDescent="0.3">
      <c r="A11" s="2"/>
    </row>
    <row r="12" spans="1:1" x14ac:dyDescent="0.3">
      <c r="A12" s="3" t="s">
        <v>9</v>
      </c>
    </row>
    <row r="13" spans="1:1" x14ac:dyDescent="0.3">
      <c r="A13" s="2" t="s">
        <v>10</v>
      </c>
    </row>
    <row r="14" spans="1:1" x14ac:dyDescent="0.3">
      <c r="A14" s="47" t="s">
        <v>11</v>
      </c>
    </row>
    <row r="15" spans="1:1" x14ac:dyDescent="0.3">
      <c r="A15" s="2"/>
    </row>
    <row r="16" spans="1:1" x14ac:dyDescent="0.3">
      <c r="A16" s="3" t="s">
        <v>12</v>
      </c>
    </row>
    <row r="17" spans="1:1" x14ac:dyDescent="0.3">
      <c r="A17" s="47" t="s">
        <v>13</v>
      </c>
    </row>
    <row r="18" spans="1:1" ht="28.2" customHeight="1" x14ac:dyDescent="0.3">
      <c r="A18" s="47" t="s">
        <v>14</v>
      </c>
    </row>
    <row r="19" spans="1:1" x14ac:dyDescent="0.3">
      <c r="A19" s="2" t="s">
        <v>15</v>
      </c>
    </row>
    <row r="20" spans="1:1" x14ac:dyDescent="0.3">
      <c r="A20" s="2"/>
    </row>
    <row r="21" spans="1:1" x14ac:dyDescent="0.3">
      <c r="A21" s="3" t="s">
        <v>16</v>
      </c>
    </row>
    <row r="22" spans="1:1" ht="28.2" customHeight="1" x14ac:dyDescent="0.3">
      <c r="A22" s="2" t="s">
        <v>17</v>
      </c>
    </row>
    <row r="23" spans="1:1" ht="28.2" customHeight="1" x14ac:dyDescent="0.3">
      <c r="A23" s="2" t="s">
        <v>18</v>
      </c>
    </row>
    <row r="24" spans="1:1" ht="28.2" customHeight="1" x14ac:dyDescent="0.3">
      <c r="A24" s="2" t="s">
        <v>19</v>
      </c>
    </row>
    <row r="25" spans="1:1" ht="28.2" customHeight="1" x14ac:dyDescent="0.3">
      <c r="A25" s="2" t="s">
        <v>20</v>
      </c>
    </row>
    <row r="26" spans="1:1" x14ac:dyDescent="0.3">
      <c r="A26" s="2"/>
    </row>
    <row r="27" spans="1:1" x14ac:dyDescent="0.3">
      <c r="A27" s="3" t="s">
        <v>21</v>
      </c>
    </row>
    <row r="28" spans="1:1" ht="28.2" customHeight="1" x14ac:dyDescent="0.3">
      <c r="A28" s="2" t="s">
        <v>22</v>
      </c>
    </row>
    <row r="29" spans="1:1" ht="28.2" customHeight="1" x14ac:dyDescent="0.3">
      <c r="A29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2" width="14" customWidth="1"/>
    <col min="3" max="3" width="62" customWidth="1"/>
  </cols>
  <sheetData>
    <row r="1" spans="1:3" ht="17.399999999999999" customHeight="1" x14ac:dyDescent="0.3">
      <c r="A1" s="4" t="s">
        <v>24</v>
      </c>
    </row>
    <row r="2" spans="1:3" x14ac:dyDescent="0.3">
      <c r="A2" s="5" t="s">
        <v>25</v>
      </c>
    </row>
    <row r="3" spans="1:3" x14ac:dyDescent="0.3">
      <c r="A3" s="6" t="s">
        <v>26</v>
      </c>
      <c r="B3" s="6" t="s">
        <v>27</v>
      </c>
      <c r="C3" s="6" t="s">
        <v>28</v>
      </c>
    </row>
    <row r="4" spans="1:3" x14ac:dyDescent="0.3">
      <c r="A4" s="7" t="s">
        <v>29</v>
      </c>
      <c r="B4" s="8"/>
      <c r="C4" s="8"/>
    </row>
    <row r="5" spans="1:3" x14ac:dyDescent="0.3">
      <c r="A5" s="5" t="s">
        <v>30</v>
      </c>
      <c r="B5" s="9">
        <v>18.5</v>
      </c>
      <c r="C5" s="48" t="s">
        <v>31</v>
      </c>
    </row>
    <row r="6" spans="1:3" x14ac:dyDescent="0.3">
      <c r="A6" s="5" t="s">
        <v>32</v>
      </c>
      <c r="B6" s="10">
        <v>0.16</v>
      </c>
      <c r="C6" s="5" t="s">
        <v>33</v>
      </c>
    </row>
    <row r="7" spans="1:3" x14ac:dyDescent="0.3">
      <c r="A7" s="5" t="s">
        <v>34</v>
      </c>
      <c r="B7" s="49">
        <v>3.5999999999999997E-2</v>
      </c>
      <c r="C7" s="48" t="s">
        <v>35</v>
      </c>
    </row>
    <row r="8" spans="1:3" x14ac:dyDescent="0.3">
      <c r="A8" s="5" t="s">
        <v>36</v>
      </c>
      <c r="B8" s="50">
        <v>3</v>
      </c>
      <c r="C8" s="48" t="s">
        <v>37</v>
      </c>
    </row>
    <row r="9" spans="1:3" x14ac:dyDescent="0.3">
      <c r="A9" s="5" t="s">
        <v>38</v>
      </c>
      <c r="B9" s="10">
        <v>0.15</v>
      </c>
      <c r="C9" s="5" t="s">
        <v>39</v>
      </c>
    </row>
    <row r="10" spans="1:3" x14ac:dyDescent="0.3">
      <c r="A10" s="5" t="s">
        <v>40</v>
      </c>
      <c r="B10" s="10">
        <v>0.25</v>
      </c>
      <c r="C10" s="5" t="s">
        <v>41</v>
      </c>
    </row>
    <row r="11" spans="1:3" x14ac:dyDescent="0.3">
      <c r="A11" s="5" t="s">
        <v>42</v>
      </c>
      <c r="B11" s="10">
        <v>0.15</v>
      </c>
      <c r="C11" s="5" t="s">
        <v>43</v>
      </c>
    </row>
    <row r="13" spans="1:3" x14ac:dyDescent="0.3">
      <c r="A13" s="7" t="s">
        <v>44</v>
      </c>
      <c r="B13" s="8"/>
      <c r="C13" s="8"/>
    </row>
    <row r="14" spans="1:3" x14ac:dyDescent="0.3">
      <c r="A14" s="5" t="s">
        <v>45</v>
      </c>
      <c r="B14" s="12">
        <v>59</v>
      </c>
      <c r="C14" s="5" t="s">
        <v>46</v>
      </c>
    </row>
    <row r="15" spans="1:3" x14ac:dyDescent="0.3">
      <c r="A15" s="5" t="s">
        <v>47</v>
      </c>
      <c r="B15" s="13">
        <v>79</v>
      </c>
      <c r="C15" s="5" t="s">
        <v>48</v>
      </c>
    </row>
    <row r="16" spans="1:3" x14ac:dyDescent="0.3">
      <c r="A16" s="5" t="s">
        <v>49</v>
      </c>
      <c r="B16" s="10">
        <v>0.4</v>
      </c>
      <c r="C16" s="5" t="s">
        <v>39</v>
      </c>
    </row>
    <row r="17" spans="1:3" x14ac:dyDescent="0.3">
      <c r="A17" s="5" t="s">
        <v>50</v>
      </c>
      <c r="B17" s="11">
        <v>0.05</v>
      </c>
      <c r="C17" s="5" t="s">
        <v>51</v>
      </c>
    </row>
    <row r="18" spans="1:3" x14ac:dyDescent="0.3">
      <c r="A18" s="5" t="s">
        <v>52</v>
      </c>
      <c r="B18" s="14">
        <v>4</v>
      </c>
      <c r="C18" s="5" t="s">
        <v>53</v>
      </c>
    </row>
    <row r="20" spans="1:3" x14ac:dyDescent="0.3">
      <c r="A20" s="7" t="s">
        <v>54</v>
      </c>
      <c r="B20" s="8"/>
      <c r="C20" s="8"/>
    </row>
    <row r="21" spans="1:3" x14ac:dyDescent="0.3">
      <c r="A21" s="5" t="s">
        <v>55</v>
      </c>
      <c r="B21" s="51">
        <v>1</v>
      </c>
      <c r="C21" s="48" t="s">
        <v>56</v>
      </c>
    </row>
    <row r="22" spans="1:3" x14ac:dyDescent="0.3">
      <c r="A22" s="5" t="s">
        <v>57</v>
      </c>
      <c r="B22" s="51">
        <v>5</v>
      </c>
      <c r="C22" s="48" t="s">
        <v>58</v>
      </c>
    </row>
    <row r="23" spans="1:3" x14ac:dyDescent="0.3">
      <c r="A23" s="5" t="s">
        <v>59</v>
      </c>
      <c r="B23" s="15">
        <v>3000</v>
      </c>
      <c r="C23" s="5" t="s">
        <v>60</v>
      </c>
    </row>
    <row r="24" spans="1:3" x14ac:dyDescent="0.3">
      <c r="A24" s="5" t="s">
        <v>61</v>
      </c>
      <c r="B24" s="15">
        <v>1000</v>
      </c>
      <c r="C24" s="5" t="s">
        <v>60</v>
      </c>
    </row>
    <row r="25" spans="1:3" x14ac:dyDescent="0.3">
      <c r="A25" s="5" t="s">
        <v>62</v>
      </c>
      <c r="B25" s="10">
        <v>0.3</v>
      </c>
      <c r="C25" s="5" t="s">
        <v>63</v>
      </c>
    </row>
    <row r="26" spans="1:3" x14ac:dyDescent="0.3">
      <c r="A26" s="5" t="s">
        <v>64</v>
      </c>
      <c r="B26" s="15">
        <v>20</v>
      </c>
      <c r="C26" s="5" t="s">
        <v>65</v>
      </c>
    </row>
    <row r="27" spans="1:3" x14ac:dyDescent="0.3">
      <c r="A27" s="5" t="s">
        <v>66</v>
      </c>
      <c r="B27" s="16">
        <v>20</v>
      </c>
      <c r="C27" s="5" t="s">
        <v>67</v>
      </c>
    </row>
    <row r="29" spans="1:3" x14ac:dyDescent="0.3">
      <c r="A29" s="7" t="s">
        <v>68</v>
      </c>
      <c r="B29" s="8"/>
      <c r="C29" s="8"/>
    </row>
    <row r="30" spans="1:3" x14ac:dyDescent="0.3">
      <c r="A30" s="5" t="s">
        <v>69</v>
      </c>
      <c r="B30" s="51">
        <v>5</v>
      </c>
      <c r="C30" s="48" t="s">
        <v>70</v>
      </c>
    </row>
    <row r="31" spans="1:3" x14ac:dyDescent="0.3">
      <c r="A31" s="5" t="s">
        <v>71</v>
      </c>
      <c r="B31" s="51">
        <v>0</v>
      </c>
      <c r="C31" s="48" t="s">
        <v>72</v>
      </c>
    </row>
    <row r="32" spans="1:3" x14ac:dyDescent="0.3">
      <c r="A32" s="5" t="s">
        <v>73</v>
      </c>
      <c r="B32" s="14">
        <v>2</v>
      </c>
      <c r="C32" s="5" t="s">
        <v>74</v>
      </c>
    </row>
    <row r="33" spans="1:3" x14ac:dyDescent="0.3">
      <c r="A33" s="5" t="s">
        <v>75</v>
      </c>
      <c r="B33" s="17">
        <v>10</v>
      </c>
      <c r="C33" s="5" t="s">
        <v>76</v>
      </c>
    </row>
    <row r="34" spans="1:3" x14ac:dyDescent="0.3">
      <c r="A34" s="5" t="s">
        <v>77</v>
      </c>
      <c r="B34" s="51">
        <v>25</v>
      </c>
      <c r="C34" s="48" t="s">
        <v>78</v>
      </c>
    </row>
    <row r="36" spans="1:3" x14ac:dyDescent="0.3">
      <c r="A36" s="7" t="s">
        <v>79</v>
      </c>
      <c r="B36" s="8"/>
      <c r="C36" s="8"/>
    </row>
    <row r="37" spans="1:3" x14ac:dyDescent="0.3">
      <c r="A37" s="5" t="s">
        <v>80</v>
      </c>
      <c r="B37" s="52">
        <v>1</v>
      </c>
      <c r="C37" s="5" t="s">
        <v>81</v>
      </c>
    </row>
    <row r="38" spans="1:3" x14ac:dyDescent="0.3">
      <c r="A38" s="5" t="s">
        <v>82</v>
      </c>
      <c r="B38" s="51">
        <v>25</v>
      </c>
      <c r="C38" s="48" t="s">
        <v>83</v>
      </c>
    </row>
    <row r="39" spans="1:3" x14ac:dyDescent="0.3">
      <c r="A39" s="5" t="s">
        <v>84</v>
      </c>
      <c r="B39" s="53">
        <v>11.08</v>
      </c>
      <c r="C39" s="5" t="s">
        <v>85</v>
      </c>
    </row>
    <row r="40" spans="1:3" x14ac:dyDescent="0.3">
      <c r="A40" s="5" t="s">
        <v>86</v>
      </c>
      <c r="B40" s="17">
        <v>20</v>
      </c>
      <c r="C40" s="5" t="s">
        <v>87</v>
      </c>
    </row>
    <row r="42" spans="1:3" x14ac:dyDescent="0.3">
      <c r="A42" s="7" t="s">
        <v>88</v>
      </c>
      <c r="B42" s="8"/>
      <c r="C42" s="8"/>
    </row>
    <row r="43" spans="1:3" x14ac:dyDescent="0.3">
      <c r="A43" s="5" t="s">
        <v>89</v>
      </c>
      <c r="B43" s="18">
        <v>0</v>
      </c>
      <c r="C43" s="5" t="s">
        <v>90</v>
      </c>
    </row>
    <row r="44" spans="1:3" x14ac:dyDescent="0.3">
      <c r="A44" s="5" t="s">
        <v>91</v>
      </c>
      <c r="B44" s="13">
        <v>1000</v>
      </c>
      <c r="C44" s="5" t="s">
        <v>92</v>
      </c>
    </row>
    <row r="45" spans="1:3" x14ac:dyDescent="0.3">
      <c r="A45" s="5" t="s">
        <v>93</v>
      </c>
      <c r="B45" s="14">
        <v>7</v>
      </c>
      <c r="C45" s="5" t="s">
        <v>94</v>
      </c>
    </row>
    <row r="47" spans="1:3" x14ac:dyDescent="0.3">
      <c r="A47" s="7" t="s">
        <v>95</v>
      </c>
      <c r="B47" s="8"/>
      <c r="C47" s="8"/>
    </row>
    <row r="48" spans="1:3" x14ac:dyDescent="0.3">
      <c r="A48" s="5" t="s">
        <v>96</v>
      </c>
      <c r="B48" s="19">
        <f>(Supuestos!$B$23*Supuestos!$B$21+Supuestos!$B$24*Supuestos!$B$22)/1000000*(1+Supuestos!$B$25)</f>
        <v>1.0400000000000001E-2</v>
      </c>
      <c r="C48" s="5" t="s">
        <v>97</v>
      </c>
    </row>
    <row r="49" spans="1:3" x14ac:dyDescent="0.3">
      <c r="A49" s="5" t="s">
        <v>98</v>
      </c>
      <c r="B49" s="20">
        <f>Supuestos!$B$48*Supuestos!$B$26*Supuestos!$B$5</f>
        <v>3.8480000000000003</v>
      </c>
      <c r="C49" s="5" t="s">
        <v>99</v>
      </c>
    </row>
    <row r="50" spans="1:3" x14ac:dyDescent="0.3">
      <c r="A50" s="5" t="s">
        <v>100</v>
      </c>
      <c r="B50" s="20">
        <f>Supuestos!$B$48*Supuestos!$B$27*Supuestos!$B$5</f>
        <v>3.8480000000000003</v>
      </c>
      <c r="C50" s="5" t="s">
        <v>99</v>
      </c>
    </row>
    <row r="51" spans="1:3" x14ac:dyDescent="0.3">
      <c r="A51" s="5" t="s">
        <v>101</v>
      </c>
      <c r="B51" s="20">
        <f>Supuestos!$B$14/(1+Supuestos!$B$6)-(Supuestos!$B$14*Supuestos!$B$7+Supuestos!$B$8)*(1+Supuestos!$B$6)</f>
        <v>44.918228965517244</v>
      </c>
      <c r="C51" s="5" t="s">
        <v>102</v>
      </c>
    </row>
    <row r="52" spans="1:3" x14ac:dyDescent="0.3">
      <c r="A52" s="5" t="s">
        <v>103</v>
      </c>
      <c r="B52" s="21">
        <f>(1+Supuestos!$B$11)^(1/12)-1</f>
        <v>1.171491691985338E-2</v>
      </c>
      <c r="C52" s="5" t="s">
        <v>104</v>
      </c>
    </row>
    <row r="53" spans="1:3" x14ac:dyDescent="0.3">
      <c r="A53" s="5" t="s">
        <v>105</v>
      </c>
      <c r="B53" s="20">
        <f>Supuestos!$B$40*Supuestos!$B$5</f>
        <v>370</v>
      </c>
      <c r="C53" s="5" t="s">
        <v>99</v>
      </c>
    </row>
    <row r="54" spans="1:3" x14ac:dyDescent="0.3">
      <c r="A54" s="5" t="s">
        <v>106</v>
      </c>
      <c r="B54" s="20">
        <f>Supuestos!$B$37*Supuestos!$B$38*Supuestos!$B$5+Supuestos!$B$39*Supuestos!$B$5+Supuestos!$B$53+Supuestos!$B$32*(Supuestos!$B$30+Supuestos!$B$31)*Supuestos!$B$5</f>
        <v>1222.48</v>
      </c>
      <c r="C54" s="5" t="s">
        <v>107</v>
      </c>
    </row>
    <row r="55" spans="1:3" x14ac:dyDescent="0.3">
      <c r="A55" s="5" t="s">
        <v>108</v>
      </c>
      <c r="B55" s="22">
        <f>(1+Supuestos!$B$9)*(1+Supuestos!$B$10)</f>
        <v>1.4375</v>
      </c>
      <c r="C55" s="5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44" customWidth="1"/>
    <col min="3" max="3" width="22" customWidth="1"/>
    <col min="4" max="5" width="14" customWidth="1"/>
    <col min="6" max="6" width="16" customWidth="1"/>
    <col min="7" max="7" width="12" customWidth="1"/>
    <col min="8" max="8" width="44" customWidth="1"/>
    <col min="9" max="9" width="46" customWidth="1"/>
  </cols>
  <sheetData>
    <row r="1" spans="1:9" ht="17.399999999999999" customHeight="1" x14ac:dyDescent="0.3">
      <c r="A1" s="4" t="s">
        <v>110</v>
      </c>
    </row>
    <row r="2" spans="1:9" x14ac:dyDescent="0.3">
      <c r="A2" s="5" t="s">
        <v>111</v>
      </c>
    </row>
    <row r="4" spans="1:9" ht="27.6" customHeight="1" x14ac:dyDescent="0.3">
      <c r="A4" s="6" t="s">
        <v>112</v>
      </c>
      <c r="B4" s="6" t="s">
        <v>113</v>
      </c>
      <c r="C4" s="6" t="s">
        <v>114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  <c r="I4" s="58" t="s">
        <v>120</v>
      </c>
    </row>
    <row r="5" spans="1:9" x14ac:dyDescent="0.3">
      <c r="A5" s="5" t="s">
        <v>121</v>
      </c>
      <c r="B5" s="5" t="s">
        <v>122</v>
      </c>
      <c r="C5" s="5" t="s">
        <v>123</v>
      </c>
      <c r="D5" s="54">
        <f>Supuestos!$B$21</f>
        <v>1</v>
      </c>
      <c r="E5" s="5" t="s">
        <v>124</v>
      </c>
      <c r="F5" s="20">
        <f>IF(D5="","",D5*Supuestos!$B$5)</f>
        <v>18.5</v>
      </c>
      <c r="G5" s="5" t="s">
        <v>125</v>
      </c>
      <c r="H5" s="5" t="s">
        <v>126</v>
      </c>
      <c r="I5" s="59" t="s">
        <v>127</v>
      </c>
    </row>
    <row r="6" spans="1:9" x14ac:dyDescent="0.3">
      <c r="A6" s="5" t="s">
        <v>128</v>
      </c>
      <c r="B6" s="5" t="s">
        <v>129</v>
      </c>
      <c r="C6" s="5" t="s">
        <v>123</v>
      </c>
      <c r="D6" s="54">
        <f>Supuestos!$B$22</f>
        <v>5</v>
      </c>
      <c r="E6" s="5" t="s">
        <v>124</v>
      </c>
      <c r="F6" s="20">
        <f>IF(D6="","",D6*Supuestos!$B$5)</f>
        <v>92.5</v>
      </c>
      <c r="G6" s="5" t="s">
        <v>125</v>
      </c>
      <c r="H6" s="5" t="s">
        <v>126</v>
      </c>
      <c r="I6" s="59" t="s">
        <v>127</v>
      </c>
    </row>
    <row r="7" spans="1:9" x14ac:dyDescent="0.3">
      <c r="A7" s="5" t="s">
        <v>130</v>
      </c>
      <c r="B7" s="5" t="s">
        <v>131</v>
      </c>
      <c r="C7" s="5" t="s">
        <v>132</v>
      </c>
      <c r="D7" s="54">
        <f>Supuestos!$B$30</f>
        <v>5</v>
      </c>
      <c r="E7" s="5" t="s">
        <v>133</v>
      </c>
      <c r="F7" s="20">
        <f>IF(D7="","",D7*Supuestos!$B$5)</f>
        <v>92.5</v>
      </c>
      <c r="G7" s="5" t="s">
        <v>134</v>
      </c>
      <c r="H7" s="5" t="s">
        <v>135</v>
      </c>
      <c r="I7" s="59" t="s">
        <v>136</v>
      </c>
    </row>
    <row r="8" spans="1:9" x14ac:dyDescent="0.3">
      <c r="A8" s="5" t="s">
        <v>137</v>
      </c>
      <c r="B8" s="5" t="s">
        <v>138</v>
      </c>
      <c r="C8" s="5" t="s">
        <v>139</v>
      </c>
      <c r="D8" s="54">
        <f>Supuestos!$B$31</f>
        <v>0</v>
      </c>
      <c r="E8" s="5" t="s">
        <v>133</v>
      </c>
      <c r="F8" s="20">
        <f>IF(D8="","",D8*Supuestos!$B$5)</f>
        <v>0</v>
      </c>
      <c r="G8" s="5" t="s">
        <v>134</v>
      </c>
      <c r="H8" s="5" t="s">
        <v>140</v>
      </c>
      <c r="I8" s="59" t="s">
        <v>141</v>
      </c>
    </row>
    <row r="9" spans="1:9" x14ac:dyDescent="0.3">
      <c r="A9" s="5" t="s">
        <v>142</v>
      </c>
      <c r="B9" s="5" t="s">
        <v>143</v>
      </c>
      <c r="C9" s="5" t="s">
        <v>144</v>
      </c>
      <c r="D9" s="54">
        <f>Supuestos!$B$34</f>
        <v>25</v>
      </c>
      <c r="E9" s="5" t="s">
        <v>133</v>
      </c>
      <c r="F9" s="20">
        <f>IF(D9="","",D9*Supuestos!$B$5)</f>
        <v>462.5</v>
      </c>
      <c r="G9" s="5" t="s">
        <v>134</v>
      </c>
      <c r="H9" s="5" t="s">
        <v>145</v>
      </c>
      <c r="I9" s="59" t="s">
        <v>146</v>
      </c>
    </row>
    <row r="10" spans="1:9" x14ac:dyDescent="0.3">
      <c r="A10" s="5" t="s">
        <v>147</v>
      </c>
      <c r="B10" s="5" t="s">
        <v>148</v>
      </c>
      <c r="C10" s="5" t="s">
        <v>149</v>
      </c>
      <c r="D10" s="54">
        <f>Supuestos!$B$39</f>
        <v>11.08</v>
      </c>
      <c r="E10" s="5" t="s">
        <v>150</v>
      </c>
      <c r="F10" s="20">
        <f>IF(D10="","",D10*Supuestos!$B$5)</f>
        <v>204.98</v>
      </c>
      <c r="G10" s="5" t="s">
        <v>134</v>
      </c>
      <c r="H10" s="5" t="s">
        <v>151</v>
      </c>
      <c r="I10" s="59" t="s">
        <v>152</v>
      </c>
    </row>
    <row r="11" spans="1:9" ht="42" x14ac:dyDescent="0.3">
      <c r="A11" s="5" t="s">
        <v>153</v>
      </c>
      <c r="B11" s="5" t="s">
        <v>154</v>
      </c>
      <c r="C11" s="5" t="s">
        <v>155</v>
      </c>
      <c r="D11" s="54">
        <f>Supuestos!$B$38</f>
        <v>25</v>
      </c>
      <c r="E11" s="5" t="s">
        <v>156</v>
      </c>
      <c r="F11" s="20">
        <f>IF(D11="","",D11*Supuestos!$B$5)</f>
        <v>462.5</v>
      </c>
      <c r="G11" s="5" t="s">
        <v>134</v>
      </c>
      <c r="H11" s="5" t="s">
        <v>157</v>
      </c>
      <c r="I11" s="59" t="s">
        <v>158</v>
      </c>
    </row>
    <row r="12" spans="1:9" ht="28.2" x14ac:dyDescent="0.3">
      <c r="A12" s="5" t="s">
        <v>159</v>
      </c>
      <c r="B12" s="5" t="s">
        <v>160</v>
      </c>
      <c r="C12" s="5" t="s">
        <v>161</v>
      </c>
      <c r="D12" s="55">
        <f>Supuestos!$B$7</f>
        <v>3.5999999999999997E-2</v>
      </c>
      <c r="E12" s="5" t="s">
        <v>162</v>
      </c>
      <c r="F12" s="5" t="s">
        <v>163</v>
      </c>
      <c r="G12" s="5" t="s">
        <v>125</v>
      </c>
      <c r="H12" s="5" t="s">
        <v>164</v>
      </c>
      <c r="I12" s="59" t="s">
        <v>165</v>
      </c>
    </row>
    <row r="13" spans="1:9" x14ac:dyDescent="0.3">
      <c r="A13" s="5" t="s">
        <v>166</v>
      </c>
      <c r="B13" s="5" t="s">
        <v>160</v>
      </c>
      <c r="C13" s="5" t="s">
        <v>161</v>
      </c>
      <c r="D13" s="56">
        <f>Supuestos!$B$8</f>
        <v>3</v>
      </c>
      <c r="E13" s="5" t="s">
        <v>167</v>
      </c>
      <c r="F13" s="20">
        <f>D13</f>
        <v>3</v>
      </c>
      <c r="G13" s="5" t="s">
        <v>125</v>
      </c>
      <c r="H13" s="5" t="s">
        <v>164</v>
      </c>
      <c r="I13" s="59" t="s">
        <v>168</v>
      </c>
    </row>
    <row r="14" spans="1:9" x14ac:dyDescent="0.3">
      <c r="A14" s="5" t="s">
        <v>169</v>
      </c>
      <c r="B14" s="5" t="s">
        <v>170</v>
      </c>
      <c r="C14" s="5" t="s">
        <v>171</v>
      </c>
      <c r="D14" s="53">
        <v>0</v>
      </c>
      <c r="E14" s="5" t="s">
        <v>133</v>
      </c>
      <c r="F14" s="20">
        <f>IF(D14="","",D14*Supuestos!$B$5)</f>
        <v>0</v>
      </c>
      <c r="G14" s="5" t="s">
        <v>134</v>
      </c>
      <c r="H14" s="5" t="s">
        <v>172</v>
      </c>
      <c r="I14" s="59" t="s">
        <v>136</v>
      </c>
    </row>
    <row r="15" spans="1:9" x14ac:dyDescent="0.3">
      <c r="A15" s="48" t="s">
        <v>173</v>
      </c>
      <c r="B15" s="48" t="s">
        <v>174</v>
      </c>
      <c r="C15" s="48" t="s">
        <v>123</v>
      </c>
      <c r="D15" s="53">
        <v>0.1</v>
      </c>
      <c r="E15" s="48" t="s">
        <v>124</v>
      </c>
      <c r="F15" s="57">
        <f>D15*Supuestos!$B$5</f>
        <v>1.85</v>
      </c>
      <c r="G15" s="48" t="s">
        <v>125</v>
      </c>
      <c r="H15" s="48" t="s">
        <v>175</v>
      </c>
      <c r="I15" s="59" t="s">
        <v>141</v>
      </c>
    </row>
    <row r="16" spans="1:9" x14ac:dyDescent="0.3">
      <c r="A16" s="48" t="s">
        <v>176</v>
      </c>
      <c r="B16" s="48" t="s">
        <v>177</v>
      </c>
      <c r="C16" s="48" t="s">
        <v>123</v>
      </c>
      <c r="D16" s="53">
        <v>0.5</v>
      </c>
      <c r="E16" s="48" t="s">
        <v>124</v>
      </c>
      <c r="F16" s="57">
        <f>D16*Supuestos!$B$5</f>
        <v>9.25</v>
      </c>
      <c r="G16" s="48" t="s">
        <v>125</v>
      </c>
      <c r="H16" s="48" t="s">
        <v>175</v>
      </c>
      <c r="I16" s="59" t="s">
        <v>141</v>
      </c>
    </row>
    <row r="17" spans="1:9" x14ac:dyDescent="0.3">
      <c r="A17" s="48" t="s">
        <v>178</v>
      </c>
      <c r="B17" s="48" t="s">
        <v>179</v>
      </c>
      <c r="C17" s="48" t="s">
        <v>123</v>
      </c>
      <c r="D17" s="53">
        <v>0.5</v>
      </c>
      <c r="E17" s="48" t="s">
        <v>180</v>
      </c>
      <c r="F17" s="57">
        <f>D17*Supuestos!$B$5</f>
        <v>9.25</v>
      </c>
      <c r="G17" s="48" t="s">
        <v>125</v>
      </c>
      <c r="H17" s="48" t="s">
        <v>181</v>
      </c>
      <c r="I17" s="59" t="s">
        <v>182</v>
      </c>
    </row>
    <row r="19" spans="1:9" x14ac:dyDescent="0.3">
      <c r="A19" s="48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4" width="14" customWidth="1"/>
    <col min="5" max="6" width="16" customWidth="1"/>
    <col min="7" max="7" width="14" customWidth="1"/>
    <col min="8" max="8" width="16" customWidth="1"/>
  </cols>
  <sheetData>
    <row r="1" spans="1:8" ht="17.399999999999999" customHeight="1" x14ac:dyDescent="0.3">
      <c r="A1" s="4" t="s">
        <v>184</v>
      </c>
    </row>
    <row r="2" spans="1:8" x14ac:dyDescent="0.3">
      <c r="A2" s="5" t="s">
        <v>185</v>
      </c>
    </row>
    <row r="4" spans="1:8" ht="27.6" customHeight="1" x14ac:dyDescent="0.3">
      <c r="A4" s="6" t="s">
        <v>186</v>
      </c>
      <c r="B4" s="6" t="s">
        <v>187</v>
      </c>
      <c r="C4" s="6" t="s">
        <v>188</v>
      </c>
      <c r="D4" s="6" t="s">
        <v>189</v>
      </c>
      <c r="E4" s="6" t="s">
        <v>190</v>
      </c>
      <c r="F4" s="6" t="s">
        <v>191</v>
      </c>
      <c r="G4" s="6" t="s">
        <v>192</v>
      </c>
      <c r="H4" s="6" t="s">
        <v>193</v>
      </c>
    </row>
    <row r="5" spans="1:8" x14ac:dyDescent="0.3">
      <c r="A5" s="5" t="s">
        <v>194</v>
      </c>
      <c r="B5" s="23">
        <f>Supuestos!$B$26/30</f>
        <v>0.66666666666666663</v>
      </c>
      <c r="C5" s="24">
        <f>Supuestos!$B$23</f>
        <v>3000</v>
      </c>
      <c r="D5" s="24">
        <f>Supuestos!$B$24</f>
        <v>1000</v>
      </c>
      <c r="E5" s="19">
        <f>B5*30*Supuestos!$B$48</f>
        <v>0.20800000000000002</v>
      </c>
      <c r="F5" s="20">
        <f>E5*Supuestos!$B$5</f>
        <v>3.8480000000000003</v>
      </c>
      <c r="G5" s="15">
        <v>20</v>
      </c>
      <c r="H5" s="20">
        <f>F5*G5</f>
        <v>76.960000000000008</v>
      </c>
    </row>
    <row r="6" spans="1:8" x14ac:dyDescent="0.3">
      <c r="A6" s="5" t="s">
        <v>195</v>
      </c>
      <c r="B6" s="23">
        <f>Supuestos!$B$26/30</f>
        <v>0.66666666666666663</v>
      </c>
      <c r="C6" s="24">
        <f>Supuestos!$B$23</f>
        <v>3000</v>
      </c>
      <c r="D6" s="24">
        <f>Supuestos!$B$24</f>
        <v>1000</v>
      </c>
      <c r="E6" s="19">
        <f>B6*30*Supuestos!$B$48</f>
        <v>0.20800000000000002</v>
      </c>
      <c r="F6" s="20">
        <f>E6*Supuestos!$B$5</f>
        <v>3.8480000000000003</v>
      </c>
      <c r="G6" s="15">
        <v>100</v>
      </c>
      <c r="H6" s="20">
        <f>F6*G6</f>
        <v>384.8</v>
      </c>
    </row>
    <row r="7" spans="1:8" x14ac:dyDescent="0.3">
      <c r="A7" s="5" t="s">
        <v>196</v>
      </c>
      <c r="B7" s="23">
        <f>Supuestos!$B$26/30</f>
        <v>0.66666666666666663</v>
      </c>
      <c r="C7" s="24">
        <f>Supuestos!$B$23</f>
        <v>3000</v>
      </c>
      <c r="D7" s="24">
        <f>Supuestos!$B$24</f>
        <v>1000</v>
      </c>
      <c r="E7" s="19">
        <f>B7*30*Supuestos!$B$48</f>
        <v>0.20800000000000002</v>
      </c>
      <c r="F7" s="20">
        <f>E7*Supuestos!$B$5</f>
        <v>3.8480000000000003</v>
      </c>
      <c r="G7" s="15">
        <v>1200</v>
      </c>
      <c r="H7" s="20">
        <f>F7*G7</f>
        <v>4617.6000000000004</v>
      </c>
    </row>
    <row r="8" spans="1:8" x14ac:dyDescent="0.3">
      <c r="A8" s="5" t="s">
        <v>197</v>
      </c>
      <c r="B8" s="23">
        <f>Supuestos!$B$27/30</f>
        <v>0.66666666666666663</v>
      </c>
      <c r="C8" s="24">
        <f>Supuestos!$B$23</f>
        <v>3000</v>
      </c>
      <c r="D8" s="24">
        <f>Supuestos!$B$24</f>
        <v>1000</v>
      </c>
      <c r="E8" s="19">
        <f>B8*30*Supuestos!$B$48</f>
        <v>0.20800000000000002</v>
      </c>
      <c r="F8" s="20">
        <f>E8*Supuestos!$B$5</f>
        <v>3.8480000000000003</v>
      </c>
      <c r="G8" s="15">
        <v>19</v>
      </c>
      <c r="H8" s="20">
        <f>F8*G8</f>
        <v>73.112000000000009</v>
      </c>
    </row>
    <row r="9" spans="1:8" x14ac:dyDescent="0.3">
      <c r="A9" s="5" t="s">
        <v>198</v>
      </c>
      <c r="B9" s="23">
        <f>5/30</f>
        <v>0.16666666666666666</v>
      </c>
      <c r="C9" s="24">
        <f>Supuestos!$B$23</f>
        <v>3000</v>
      </c>
      <c r="D9" s="24">
        <f>Supuestos!$B$24</f>
        <v>1000</v>
      </c>
      <c r="E9" s="19">
        <f>B9*30*Supuestos!$B$48</f>
        <v>5.2000000000000005E-2</v>
      </c>
      <c r="F9" s="20">
        <f>E9*Supuestos!$B$5</f>
        <v>0.96200000000000008</v>
      </c>
      <c r="G9" s="15">
        <v>19</v>
      </c>
      <c r="H9" s="20">
        <f>F9*G9</f>
        <v>18.278000000000002</v>
      </c>
    </row>
    <row r="11" spans="1:8" x14ac:dyDescent="0.3">
      <c r="A11" s="5" t="s">
        <v>199</v>
      </c>
    </row>
    <row r="12" spans="1:8" x14ac:dyDescent="0.3">
      <c r="A12" s="5" t="s">
        <v>200</v>
      </c>
      <c r="H12" s="20">
        <f>H8</f>
        <v>73.112000000000009</v>
      </c>
    </row>
    <row r="13" spans="1:8" x14ac:dyDescent="0.3">
      <c r="A13" s="5" t="s">
        <v>201</v>
      </c>
      <c r="H13" s="20">
        <f>H9</f>
        <v>18.278000000000002</v>
      </c>
    </row>
    <row r="14" spans="1:8" x14ac:dyDescent="0.3">
      <c r="A14" s="5" t="s">
        <v>202</v>
      </c>
      <c r="H14" s="25">
        <f>Supuestos!$B$51</f>
        <v>44.918228965517244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3" width="18" customWidth="1"/>
    <col min="4" max="4" width="50" customWidth="1"/>
  </cols>
  <sheetData>
    <row r="1" spans="1:4" ht="17.399999999999999" customHeight="1" x14ac:dyDescent="0.3">
      <c r="A1" s="4" t="s">
        <v>203</v>
      </c>
    </row>
    <row r="2" spans="1:4" x14ac:dyDescent="0.3">
      <c r="A2" s="5" t="s">
        <v>204</v>
      </c>
    </row>
    <row r="4" spans="1:4" x14ac:dyDescent="0.3">
      <c r="A4" s="6" t="s">
        <v>205</v>
      </c>
      <c r="B4" s="6" t="s">
        <v>206</v>
      </c>
      <c r="C4" s="6" t="s">
        <v>207</v>
      </c>
      <c r="D4" s="6" t="s">
        <v>208</v>
      </c>
    </row>
    <row r="5" spans="1:4" x14ac:dyDescent="0.3">
      <c r="A5" s="5" t="s">
        <v>209</v>
      </c>
      <c r="B5" s="15">
        <v>10</v>
      </c>
      <c r="C5" s="15">
        <v>100</v>
      </c>
      <c r="D5" s="5" t="s">
        <v>210</v>
      </c>
    </row>
    <row r="6" spans="1:4" x14ac:dyDescent="0.3">
      <c r="A6" s="5" t="s">
        <v>211</v>
      </c>
      <c r="B6" s="26">
        <f>Supuestos!$B$30+Supuestos!$B$31</f>
        <v>5</v>
      </c>
      <c r="C6" s="26">
        <f>Supuestos!$B$33+Supuestos!$B$34</f>
        <v>35</v>
      </c>
      <c r="D6" s="5" t="s">
        <v>212</v>
      </c>
    </row>
    <row r="7" spans="1:4" x14ac:dyDescent="0.3">
      <c r="A7" s="5" t="s">
        <v>213</v>
      </c>
      <c r="B7" s="20">
        <f>B6*Supuestos!$B$5/B5</f>
        <v>9.25</v>
      </c>
      <c r="C7" s="20">
        <f>C6*Supuestos!$B$5/C5</f>
        <v>6.4749999999999996</v>
      </c>
      <c r="D7" s="5" t="s">
        <v>214</v>
      </c>
    </row>
    <row r="8" spans="1:4" x14ac:dyDescent="0.3">
      <c r="A8" s="5" t="s">
        <v>215</v>
      </c>
      <c r="B8" s="25">
        <f>Supuestos!$B$49</f>
        <v>3.8480000000000003</v>
      </c>
      <c r="C8" s="25">
        <f>Supuestos!$B$49</f>
        <v>3.8480000000000003</v>
      </c>
      <c r="D8" s="5" t="s">
        <v>216</v>
      </c>
    </row>
    <row r="9" spans="1:4" x14ac:dyDescent="0.3">
      <c r="A9" s="5" t="s">
        <v>217</v>
      </c>
      <c r="B9" s="20">
        <f>B7+B8</f>
        <v>13.098000000000001</v>
      </c>
      <c r="C9" s="20">
        <f>C7+C8</f>
        <v>10.323</v>
      </c>
      <c r="D9" s="5" t="s">
        <v>218</v>
      </c>
    </row>
    <row r="10" spans="1:4" x14ac:dyDescent="0.3">
      <c r="A10" s="5" t="s">
        <v>38</v>
      </c>
      <c r="B10" s="20">
        <f>B9*Supuestos!$B$9</f>
        <v>1.9647000000000001</v>
      </c>
      <c r="C10" s="20">
        <f>C9*Supuestos!$B$9</f>
        <v>1.5484500000000001</v>
      </c>
      <c r="D10" s="5" t="s">
        <v>219</v>
      </c>
    </row>
    <row r="11" spans="1:4" x14ac:dyDescent="0.3">
      <c r="A11" s="5" t="s">
        <v>220</v>
      </c>
      <c r="B11" s="20">
        <f>(B9+B10)*Supuestos!$B$10</f>
        <v>3.7656750000000003</v>
      </c>
      <c r="C11" s="20">
        <f>(C9+C10)*Supuestos!$B$10</f>
        <v>2.9678625000000003</v>
      </c>
      <c r="D11" s="5" t="s">
        <v>221</v>
      </c>
    </row>
    <row r="12" spans="1:4" x14ac:dyDescent="0.3">
      <c r="A12" s="27" t="s">
        <v>222</v>
      </c>
      <c r="B12" s="28">
        <f>B9+B10+B11</f>
        <v>18.828375000000001</v>
      </c>
      <c r="C12" s="28">
        <f>C9+C10+C11</f>
        <v>14.839312500000002</v>
      </c>
      <c r="D12" s="5" t="s">
        <v>223</v>
      </c>
    </row>
    <row r="13" spans="1:4" x14ac:dyDescent="0.3">
      <c r="A13" s="5" t="s">
        <v>224</v>
      </c>
      <c r="B13" s="29">
        <f>IF(B9=0,0,B8/B9)</f>
        <v>0.29378531073446329</v>
      </c>
      <c r="C13" s="29">
        <f>IF(C9=0,0,C8/C9)</f>
        <v>0.37275985663082439</v>
      </c>
      <c r="D13" s="5"/>
    </row>
    <row r="14" spans="1:4" x14ac:dyDescent="0.3">
      <c r="A14" s="5" t="s">
        <v>225</v>
      </c>
      <c r="B14" s="29">
        <f>IF(B9=0,0,B7/B9)</f>
        <v>0.70621468926553665</v>
      </c>
      <c r="C14" s="29">
        <f>IF(C9=0,0,C7/C9)</f>
        <v>0.62724014336917555</v>
      </c>
      <c r="D14" s="5"/>
    </row>
    <row r="16" spans="1:4" x14ac:dyDescent="0.3">
      <c r="A16" s="5" t="s">
        <v>226</v>
      </c>
      <c r="B16" s="20">
        <f>B12/(1-Supuestos!$B$16)</f>
        <v>31.380625000000002</v>
      </c>
      <c r="C16" s="20">
        <f>C12/(1-Supuestos!$B$16)</f>
        <v>24.732187500000006</v>
      </c>
      <c r="D16" s="5" t="s">
        <v>227</v>
      </c>
    </row>
    <row r="17" spans="1:4" x14ac:dyDescent="0.3">
      <c r="A17" s="5" t="s">
        <v>228</v>
      </c>
      <c r="B17" s="20">
        <f>(B16+Supuestos!$B$8*(1+Supuestos!$B$6))/(1/(1+Supuestos!$B$6)-Supuestos!$B$7*(1+Supuestos!$B$6))</f>
        <v>42.496945011467503</v>
      </c>
      <c r="C17" s="20">
        <f>(C16+Supuestos!$B$8*(1+Supuestos!$B$6))/(1/(1+Supuestos!$B$6)-Supuestos!$B$7*(1+Supuestos!$B$6))</f>
        <v>34.392148185544897</v>
      </c>
      <c r="D17" s="5" t="s">
        <v>229</v>
      </c>
    </row>
    <row r="18" spans="1:4" x14ac:dyDescent="0.3">
      <c r="A18" s="5" t="s">
        <v>47</v>
      </c>
      <c r="B18" s="25">
        <f>Supuestos!$B$15</f>
        <v>79</v>
      </c>
      <c r="C18" s="25">
        <f>Supuestos!$B$15</f>
        <v>79</v>
      </c>
      <c r="D18" s="5" t="s">
        <v>230</v>
      </c>
    </row>
    <row r="19" spans="1:4" x14ac:dyDescent="0.3">
      <c r="A19" s="5" t="s">
        <v>231</v>
      </c>
      <c r="B19" s="25">
        <f>Supuestos!$B$14</f>
        <v>59</v>
      </c>
      <c r="C19" s="25">
        <f>Supuestos!$B$14</f>
        <v>59</v>
      </c>
      <c r="D19" s="5" t="s">
        <v>232</v>
      </c>
    </row>
    <row r="20" spans="1:4" x14ac:dyDescent="0.3">
      <c r="A20" s="5" t="s">
        <v>233</v>
      </c>
      <c r="B20" s="25">
        <f>Supuestos!$B$51</f>
        <v>44.918228965517244</v>
      </c>
      <c r="C20" s="25">
        <f>Supuestos!$B$51</f>
        <v>44.918228965517244</v>
      </c>
      <c r="D20" s="5" t="s">
        <v>234</v>
      </c>
    </row>
    <row r="21" spans="1:4" x14ac:dyDescent="0.3">
      <c r="A21" s="5" t="s">
        <v>235</v>
      </c>
      <c r="B21" s="30">
        <f>IF(B12=0,0,B20/B12)</f>
        <v>2.3856667909746454</v>
      </c>
      <c r="C21" s="30">
        <f>IF(C12=0,0,C20/C12)</f>
        <v>3.0269750681183671</v>
      </c>
      <c r="D21" s="5" t="s">
        <v>236</v>
      </c>
    </row>
    <row r="22" spans="1:4" x14ac:dyDescent="0.3">
      <c r="A22" s="5" t="s">
        <v>237</v>
      </c>
      <c r="B22" s="5" t="str">
        <f>IF(AND(B19&gt;=B17,B19&lt;=B18),"Sí","No")</f>
        <v>Sí</v>
      </c>
      <c r="C22" s="5" t="str">
        <f>IF(AND(C19&gt;=C17,C19&lt;=C18),"Sí","No")</f>
        <v>Sí</v>
      </c>
      <c r="D22" s="5" t="s">
        <v>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0" width="14" customWidth="1"/>
  </cols>
  <sheetData>
    <row r="1" spans="1:20" ht="17.399999999999999" customHeight="1" x14ac:dyDescent="0.3">
      <c r="A1" s="4" t="s">
        <v>239</v>
      </c>
    </row>
    <row r="2" spans="1:20" x14ac:dyDescent="0.3">
      <c r="A2" s="5" t="s">
        <v>240</v>
      </c>
    </row>
    <row r="4" spans="1:20" ht="45" customHeight="1" x14ac:dyDescent="0.3">
      <c r="A4" s="6" t="s">
        <v>241</v>
      </c>
      <c r="B4" s="6" t="s">
        <v>209</v>
      </c>
      <c r="C4" s="6" t="s">
        <v>242</v>
      </c>
      <c r="D4" s="6" t="s">
        <v>243</v>
      </c>
      <c r="E4" s="6" t="s">
        <v>244</v>
      </c>
      <c r="F4" s="6" t="s">
        <v>245</v>
      </c>
      <c r="G4" s="6" t="s">
        <v>246</v>
      </c>
      <c r="H4" s="6" t="s">
        <v>247</v>
      </c>
      <c r="I4" s="6" t="s">
        <v>248</v>
      </c>
      <c r="J4" s="6" t="s">
        <v>249</v>
      </c>
      <c r="K4" s="6" t="s">
        <v>250</v>
      </c>
      <c r="L4" s="6" t="s">
        <v>251</v>
      </c>
      <c r="M4" s="6" t="s">
        <v>252</v>
      </c>
      <c r="N4" s="6" t="s">
        <v>253</v>
      </c>
      <c r="O4" s="6" t="s">
        <v>254</v>
      </c>
      <c r="P4" s="6" t="s">
        <v>255</v>
      </c>
      <c r="Q4" s="6" t="s">
        <v>256</v>
      </c>
      <c r="R4" s="6" t="s">
        <v>257</v>
      </c>
      <c r="S4" s="6" t="s">
        <v>258</v>
      </c>
      <c r="T4" s="6" t="s">
        <v>259</v>
      </c>
    </row>
    <row r="5" spans="1:20" x14ac:dyDescent="0.3">
      <c r="A5" s="31">
        <v>0</v>
      </c>
      <c r="B5" s="15">
        <v>0</v>
      </c>
      <c r="C5" s="32">
        <f>IF(A5&gt;=Supuestos!$B$18,INT(B5*Supuestos!$B$17),0)</f>
        <v>0</v>
      </c>
      <c r="D5" s="32">
        <f t="shared" ref="D5:D17" si="0">B5-C5</f>
        <v>0</v>
      </c>
      <c r="E5" s="20">
        <f>C5*Supuestos!$B$51</f>
        <v>0</v>
      </c>
      <c r="F5" s="20">
        <f>IF(AND(A5&gt;0,A5&gt;=Supuestos!$B$45),Supuestos!$B$43*Supuestos!$B$44,0)</f>
        <v>0</v>
      </c>
      <c r="G5" s="20">
        <f t="shared" ref="G5:G17" si="1">E5+F5</f>
        <v>0</v>
      </c>
      <c r="H5" s="20">
        <f>IF(OR(A5=0,A5&lt;=Supuestos!$B$32),0,(Supuestos!$B$30+Supuestos!$B$31)*Supuestos!$B$5)</f>
        <v>0</v>
      </c>
      <c r="I5" s="20">
        <f>C5*Supuestos!$B$49+D5*Supuestos!$B$50</f>
        <v>0</v>
      </c>
      <c r="J5" s="20">
        <f>I5</f>
        <v>0</v>
      </c>
      <c r="K5" s="20">
        <f>MAX(0,J5-Supuestos!$B$53)</f>
        <v>0</v>
      </c>
      <c r="L5" s="20">
        <f t="shared" ref="L5:L17" si="2">H5+K5</f>
        <v>0</v>
      </c>
      <c r="M5" s="20">
        <f>L5*(Supuestos!$B$55-1)</f>
        <v>0</v>
      </c>
      <c r="N5" s="20">
        <f>IF(A5=0,Supuestos!$B$54,0)</f>
        <v>1222.48</v>
      </c>
      <c r="O5" s="20">
        <f t="shared" ref="O5:O17" si="3">L5+M5+N5</f>
        <v>1222.48</v>
      </c>
      <c r="P5" s="20">
        <f t="shared" ref="P5:P17" si="4">G5-O5</f>
        <v>-1222.48</v>
      </c>
      <c r="Q5" s="20">
        <f>P5</f>
        <v>-1222.48</v>
      </c>
      <c r="R5" s="22">
        <f>1/(1+Supuestos!$B$52)^A5</f>
        <v>1</v>
      </c>
      <c r="S5" s="20">
        <f t="shared" ref="S5:S17" si="5">P5*R5</f>
        <v>-1222.48</v>
      </c>
      <c r="T5" s="31" t="str">
        <f t="shared" ref="T5:T17" si="6">IF(AND(A5&gt;0,P5&gt;0),A5,"")</f>
        <v/>
      </c>
    </row>
    <row r="6" spans="1:20" x14ac:dyDescent="0.3">
      <c r="A6" s="31">
        <v>1</v>
      </c>
      <c r="B6" s="15">
        <v>5</v>
      </c>
      <c r="C6" s="32">
        <f>IF(A6&gt;=Supuestos!$B$18,INT(B6*Supuestos!$B$17),0)</f>
        <v>0</v>
      </c>
      <c r="D6" s="32">
        <f t="shared" si="0"/>
        <v>5</v>
      </c>
      <c r="E6" s="20">
        <f>C6*Supuestos!$B$51</f>
        <v>0</v>
      </c>
      <c r="F6" s="20">
        <f>IF(AND(A6&gt;0,A6&gt;=Supuestos!$B$45),Supuestos!$B$43*Supuestos!$B$44,0)</f>
        <v>0</v>
      </c>
      <c r="G6" s="20">
        <f t="shared" si="1"/>
        <v>0</v>
      </c>
      <c r="H6" s="20">
        <f>IF(OR(A6=0,A6&lt;=Supuestos!$B$32),0,(Supuestos!$B$30+Supuestos!$B$31)*Supuestos!$B$5)</f>
        <v>0</v>
      </c>
      <c r="I6" s="20">
        <f>C6*Supuestos!$B$49+D6*Supuestos!$B$50</f>
        <v>19.240000000000002</v>
      </c>
      <c r="J6" s="20">
        <f t="shared" ref="J6:J17" si="7">J5+I6</f>
        <v>19.240000000000002</v>
      </c>
      <c r="K6" s="20">
        <f>MAX(0,J6-Supuestos!$B$53)-MAX(0,J5-Supuestos!$B$53)</f>
        <v>0</v>
      </c>
      <c r="L6" s="20">
        <f t="shared" si="2"/>
        <v>0</v>
      </c>
      <c r="M6" s="20">
        <f>L6*(Supuestos!$B$55-1)</f>
        <v>0</v>
      </c>
      <c r="N6" s="20">
        <f>IF(A6=0,Supuestos!$B$54,0)</f>
        <v>0</v>
      </c>
      <c r="O6" s="20">
        <f t="shared" si="3"/>
        <v>0</v>
      </c>
      <c r="P6" s="20">
        <f t="shared" si="4"/>
        <v>0</v>
      </c>
      <c r="Q6" s="20">
        <f t="shared" ref="Q6:Q17" si="8">Q5+P6</f>
        <v>-1222.48</v>
      </c>
      <c r="R6" s="22">
        <f>1/(1+Supuestos!$B$52)^A6</f>
        <v>0.9884207332283691</v>
      </c>
      <c r="S6" s="20">
        <f t="shared" si="5"/>
        <v>0</v>
      </c>
      <c r="T6" s="31" t="str">
        <f t="shared" si="6"/>
        <v/>
      </c>
    </row>
    <row r="7" spans="1:20" x14ac:dyDescent="0.3">
      <c r="A7" s="31">
        <v>2</v>
      </c>
      <c r="B7" s="15">
        <v>10</v>
      </c>
      <c r="C7" s="32">
        <f>IF(A7&gt;=Supuestos!$B$18,INT(B7*Supuestos!$B$17),0)</f>
        <v>0</v>
      </c>
      <c r="D7" s="32">
        <f t="shared" si="0"/>
        <v>10</v>
      </c>
      <c r="E7" s="20">
        <f>C7*Supuestos!$B$51</f>
        <v>0</v>
      </c>
      <c r="F7" s="20">
        <f>IF(AND(A7&gt;0,A7&gt;=Supuestos!$B$45),Supuestos!$B$43*Supuestos!$B$44,0)</f>
        <v>0</v>
      </c>
      <c r="G7" s="20">
        <f t="shared" si="1"/>
        <v>0</v>
      </c>
      <c r="H7" s="20">
        <f>IF(OR(A7=0,A7&lt;=Supuestos!$B$32),0,(Supuestos!$B$30+Supuestos!$B$31)*Supuestos!$B$5)</f>
        <v>0</v>
      </c>
      <c r="I7" s="20">
        <f>C7*Supuestos!$B$49+D7*Supuestos!$B$50</f>
        <v>38.480000000000004</v>
      </c>
      <c r="J7" s="20">
        <f t="shared" si="7"/>
        <v>57.720000000000006</v>
      </c>
      <c r="K7" s="20">
        <f>MAX(0,J7-Supuestos!$B$53)-MAX(0,J6-Supuestos!$B$53)</f>
        <v>0</v>
      </c>
      <c r="L7" s="20">
        <f t="shared" si="2"/>
        <v>0</v>
      </c>
      <c r="M7" s="20">
        <f>L7*(Supuestos!$B$55-1)</f>
        <v>0</v>
      </c>
      <c r="N7" s="20">
        <f>IF(A7=0,Supuestos!$B$54,0)</f>
        <v>0</v>
      </c>
      <c r="O7" s="20">
        <f t="shared" si="3"/>
        <v>0</v>
      </c>
      <c r="P7" s="20">
        <f t="shared" si="4"/>
        <v>0</v>
      </c>
      <c r="Q7" s="20">
        <f t="shared" si="8"/>
        <v>-1222.48</v>
      </c>
      <c r="R7" s="22">
        <f>1/(1+Supuestos!$B$52)^A7</f>
        <v>0.97697554587570679</v>
      </c>
      <c r="S7" s="20">
        <f t="shared" si="5"/>
        <v>0</v>
      </c>
      <c r="T7" s="31" t="str">
        <f t="shared" si="6"/>
        <v/>
      </c>
    </row>
    <row r="8" spans="1:20" x14ac:dyDescent="0.3">
      <c r="A8" s="31">
        <v>3</v>
      </c>
      <c r="B8" s="15">
        <v>15</v>
      </c>
      <c r="C8" s="32">
        <f>IF(A8&gt;=Supuestos!$B$18,INT(B8*Supuestos!$B$17),0)</f>
        <v>0</v>
      </c>
      <c r="D8" s="32">
        <f t="shared" si="0"/>
        <v>15</v>
      </c>
      <c r="E8" s="20">
        <f>C8*Supuestos!$B$51</f>
        <v>0</v>
      </c>
      <c r="F8" s="20">
        <f>IF(AND(A8&gt;0,A8&gt;=Supuestos!$B$45),Supuestos!$B$43*Supuestos!$B$44,0)</f>
        <v>0</v>
      </c>
      <c r="G8" s="20">
        <f t="shared" si="1"/>
        <v>0</v>
      </c>
      <c r="H8" s="20">
        <f>IF(OR(A8=0,A8&lt;=Supuestos!$B$32),0,(Supuestos!$B$30+Supuestos!$B$31)*Supuestos!$B$5)</f>
        <v>92.5</v>
      </c>
      <c r="I8" s="20">
        <f>C8*Supuestos!$B$49+D8*Supuestos!$B$50</f>
        <v>57.720000000000006</v>
      </c>
      <c r="J8" s="20">
        <f t="shared" si="7"/>
        <v>115.44000000000001</v>
      </c>
      <c r="K8" s="20">
        <f>MAX(0,J8-Supuestos!$B$53)-MAX(0,J7-Supuestos!$B$53)</f>
        <v>0</v>
      </c>
      <c r="L8" s="20">
        <f t="shared" si="2"/>
        <v>92.5</v>
      </c>
      <c r="M8" s="20">
        <f>L8*(Supuestos!$B$55-1)</f>
        <v>40.46875</v>
      </c>
      <c r="N8" s="20">
        <f>IF(A8=0,Supuestos!$B$54,0)</f>
        <v>0</v>
      </c>
      <c r="O8" s="20">
        <f t="shared" si="3"/>
        <v>132.96875</v>
      </c>
      <c r="P8" s="20">
        <f t="shared" si="4"/>
        <v>-132.96875</v>
      </c>
      <c r="Q8" s="20">
        <f t="shared" si="8"/>
        <v>-1355.44875</v>
      </c>
      <c r="R8" s="22">
        <f>1/(1+Supuestos!$B$52)^A8</f>
        <v>0.96566288540065226</v>
      </c>
      <c r="S8" s="20">
        <f t="shared" si="5"/>
        <v>-128.40298679311798</v>
      </c>
      <c r="T8" s="31" t="str">
        <f t="shared" si="6"/>
        <v/>
      </c>
    </row>
    <row r="9" spans="1:20" x14ac:dyDescent="0.3">
      <c r="A9" s="31">
        <v>4</v>
      </c>
      <c r="B9" s="15">
        <v>20</v>
      </c>
      <c r="C9" s="32">
        <f>IF(A9&gt;=Supuestos!$B$18,INT(B9*Supuestos!$B$17),0)</f>
        <v>1</v>
      </c>
      <c r="D9" s="32">
        <f t="shared" si="0"/>
        <v>19</v>
      </c>
      <c r="E9" s="20">
        <f>C9*Supuestos!$B$51</f>
        <v>44.918228965517244</v>
      </c>
      <c r="F9" s="20">
        <f>IF(AND(A9&gt;0,A9&gt;=Supuestos!$B$45),Supuestos!$B$43*Supuestos!$B$44,0)</f>
        <v>0</v>
      </c>
      <c r="G9" s="20">
        <f t="shared" si="1"/>
        <v>44.918228965517244</v>
      </c>
      <c r="H9" s="20">
        <f>IF(OR(A9=0,A9&lt;=Supuestos!$B$32),0,(Supuestos!$B$30+Supuestos!$B$31)*Supuestos!$B$5)</f>
        <v>92.5</v>
      </c>
      <c r="I9" s="20">
        <f>C9*Supuestos!$B$49+D9*Supuestos!$B$50</f>
        <v>76.960000000000008</v>
      </c>
      <c r="J9" s="20">
        <f t="shared" si="7"/>
        <v>192.40000000000003</v>
      </c>
      <c r="K9" s="20">
        <f>MAX(0,J9-Supuestos!$B$53)-MAX(0,J8-Supuestos!$B$53)</f>
        <v>0</v>
      </c>
      <c r="L9" s="20">
        <f t="shared" si="2"/>
        <v>92.5</v>
      </c>
      <c r="M9" s="20">
        <f>L9*(Supuestos!$B$55-1)</f>
        <v>40.46875</v>
      </c>
      <c r="N9" s="20">
        <f>IF(A9=0,Supuestos!$B$54,0)</f>
        <v>0</v>
      </c>
      <c r="O9" s="20">
        <f t="shared" si="3"/>
        <v>132.96875</v>
      </c>
      <c r="P9" s="20">
        <f t="shared" si="4"/>
        <v>-88.050521034482756</v>
      </c>
      <c r="Q9" s="20">
        <f t="shared" si="8"/>
        <v>-1443.4992710344827</v>
      </c>
      <c r="R9" s="22">
        <f>1/(1+Supuestos!$B$52)^A9</f>
        <v>0.95448121723913526</v>
      </c>
      <c r="S9" s="20">
        <f t="shared" si="5"/>
        <v>-84.042568495533189</v>
      </c>
      <c r="T9" s="31" t="str">
        <f t="shared" si="6"/>
        <v/>
      </c>
    </row>
    <row r="10" spans="1:20" x14ac:dyDescent="0.3">
      <c r="A10" s="31">
        <v>5</v>
      </c>
      <c r="B10" s="15">
        <v>20</v>
      </c>
      <c r="C10" s="32">
        <f>IF(A10&gt;=Supuestos!$B$18,INT(B10*Supuestos!$B$17),0)</f>
        <v>1</v>
      </c>
      <c r="D10" s="32">
        <f t="shared" si="0"/>
        <v>19</v>
      </c>
      <c r="E10" s="20">
        <f>C10*Supuestos!$B$51</f>
        <v>44.918228965517244</v>
      </c>
      <c r="F10" s="20">
        <f>IF(AND(A10&gt;0,A10&gt;=Supuestos!$B$45),Supuestos!$B$43*Supuestos!$B$44,0)</f>
        <v>0</v>
      </c>
      <c r="G10" s="20">
        <f t="shared" si="1"/>
        <v>44.918228965517244</v>
      </c>
      <c r="H10" s="20">
        <f>IF(OR(A10=0,A10&lt;=Supuestos!$B$32),0,(Supuestos!$B$30+Supuestos!$B$31)*Supuestos!$B$5)</f>
        <v>92.5</v>
      </c>
      <c r="I10" s="20">
        <f>C10*Supuestos!$B$49+D10*Supuestos!$B$50</f>
        <v>76.960000000000008</v>
      </c>
      <c r="J10" s="20">
        <f t="shared" si="7"/>
        <v>269.36</v>
      </c>
      <c r="K10" s="20">
        <f>MAX(0,J10-Supuestos!$B$53)-MAX(0,J9-Supuestos!$B$53)</f>
        <v>0</v>
      </c>
      <c r="L10" s="20">
        <f t="shared" si="2"/>
        <v>92.5</v>
      </c>
      <c r="M10" s="20">
        <f>L10*(Supuestos!$B$55-1)</f>
        <v>40.46875</v>
      </c>
      <c r="N10" s="20">
        <f>IF(A10=0,Supuestos!$B$54,0)</f>
        <v>0</v>
      </c>
      <c r="O10" s="20">
        <f t="shared" si="3"/>
        <v>132.96875</v>
      </c>
      <c r="P10" s="20">
        <f t="shared" si="4"/>
        <v>-88.050521034482756</v>
      </c>
      <c r="Q10" s="20">
        <f t="shared" si="8"/>
        <v>-1531.5497920689654</v>
      </c>
      <c r="R10" s="22">
        <f>1/(1+Supuestos!$B$52)^A10</f>
        <v>0.94342902459621236</v>
      </c>
      <c r="S10" s="20">
        <f t="shared" si="5"/>
        <v>-83.069417174750342</v>
      </c>
      <c r="T10" s="31" t="str">
        <f t="shared" si="6"/>
        <v/>
      </c>
    </row>
    <row r="11" spans="1:20" x14ac:dyDescent="0.3">
      <c r="A11" s="31">
        <v>6</v>
      </c>
      <c r="B11" s="15">
        <v>20</v>
      </c>
      <c r="C11" s="32">
        <f>IF(A11&gt;=Supuestos!$B$18,INT(B11*Supuestos!$B$17),0)</f>
        <v>1</v>
      </c>
      <c r="D11" s="32">
        <f t="shared" si="0"/>
        <v>19</v>
      </c>
      <c r="E11" s="20">
        <f>C11*Supuestos!$B$51</f>
        <v>44.918228965517244</v>
      </c>
      <c r="F11" s="20">
        <f>IF(AND(A11&gt;0,A11&gt;=Supuestos!$B$45),Supuestos!$B$43*Supuestos!$B$44,0)</f>
        <v>0</v>
      </c>
      <c r="G11" s="20">
        <f t="shared" si="1"/>
        <v>44.918228965517244</v>
      </c>
      <c r="H11" s="20">
        <f>IF(OR(A11=0,A11&lt;=Supuestos!$B$32),0,(Supuestos!$B$30+Supuestos!$B$31)*Supuestos!$B$5)</f>
        <v>92.5</v>
      </c>
      <c r="I11" s="20">
        <f>C11*Supuestos!$B$49+D11*Supuestos!$B$50</f>
        <v>76.960000000000008</v>
      </c>
      <c r="J11" s="20">
        <f t="shared" si="7"/>
        <v>346.32000000000005</v>
      </c>
      <c r="K11" s="20">
        <f>MAX(0,J11-Supuestos!$B$53)-MAX(0,J10-Supuestos!$B$53)</f>
        <v>0</v>
      </c>
      <c r="L11" s="20">
        <f t="shared" si="2"/>
        <v>92.5</v>
      </c>
      <c r="M11" s="20">
        <f>L11*(Supuestos!$B$55-1)</f>
        <v>40.46875</v>
      </c>
      <c r="N11" s="20">
        <f>IF(A11=0,Supuestos!$B$54,0)</f>
        <v>0</v>
      </c>
      <c r="O11" s="20">
        <f t="shared" si="3"/>
        <v>132.96875</v>
      </c>
      <c r="P11" s="20">
        <f t="shared" si="4"/>
        <v>-88.050521034482756</v>
      </c>
      <c r="Q11" s="20">
        <f t="shared" si="8"/>
        <v>-1619.6003131034481</v>
      </c>
      <c r="R11" s="22">
        <f>1/(1+Supuestos!$B$52)^A11</f>
        <v>0.93250480824031312</v>
      </c>
      <c r="S11" s="20">
        <f t="shared" si="5"/>
        <v>-82.107534232719999</v>
      </c>
      <c r="T11" s="31" t="str">
        <f t="shared" si="6"/>
        <v/>
      </c>
    </row>
    <row r="12" spans="1:20" x14ac:dyDescent="0.3">
      <c r="A12" s="31">
        <v>7</v>
      </c>
      <c r="B12" s="15">
        <v>20</v>
      </c>
      <c r="C12" s="32">
        <f>IF(A12&gt;=Supuestos!$B$18,INT(B12*Supuestos!$B$17),0)</f>
        <v>1</v>
      </c>
      <c r="D12" s="32">
        <f t="shared" si="0"/>
        <v>19</v>
      </c>
      <c r="E12" s="20">
        <f>C12*Supuestos!$B$51</f>
        <v>44.918228965517244</v>
      </c>
      <c r="F12" s="20">
        <f>IF(AND(A12&gt;0,A12&gt;=Supuestos!$B$45),Supuestos!$B$43*Supuestos!$B$44,0)</f>
        <v>0</v>
      </c>
      <c r="G12" s="20">
        <f t="shared" si="1"/>
        <v>44.918228965517244</v>
      </c>
      <c r="H12" s="20">
        <f>IF(OR(A12=0,A12&lt;=Supuestos!$B$32),0,(Supuestos!$B$30+Supuestos!$B$31)*Supuestos!$B$5)</f>
        <v>92.5</v>
      </c>
      <c r="I12" s="20">
        <f>C12*Supuestos!$B$49+D12*Supuestos!$B$50</f>
        <v>76.960000000000008</v>
      </c>
      <c r="J12" s="20">
        <f t="shared" si="7"/>
        <v>423.28000000000009</v>
      </c>
      <c r="K12" s="20">
        <f>MAX(0,J12-Supuestos!$B$53)-MAX(0,J11-Supuestos!$B$53)</f>
        <v>53.280000000000086</v>
      </c>
      <c r="L12" s="20">
        <f t="shared" si="2"/>
        <v>145.78000000000009</v>
      </c>
      <c r="M12" s="20">
        <f>L12*(Supuestos!$B$55-1)</f>
        <v>63.778750000000038</v>
      </c>
      <c r="N12" s="20">
        <f>IF(A12=0,Supuestos!$B$54,0)</f>
        <v>0</v>
      </c>
      <c r="O12" s="20">
        <f t="shared" si="3"/>
        <v>209.55875000000012</v>
      </c>
      <c r="P12" s="20">
        <f t="shared" si="4"/>
        <v>-164.64052103448287</v>
      </c>
      <c r="Q12" s="20">
        <f t="shared" si="8"/>
        <v>-1784.240834137931</v>
      </c>
      <c r="R12" s="22">
        <f>1/(1+Supuestos!$B$52)^A12</f>
        <v>0.9217070862998703</v>
      </c>
      <c r="S12" s="20">
        <f t="shared" si="5"/>
        <v>-151.7503349295857</v>
      </c>
      <c r="T12" s="31" t="str">
        <f t="shared" si="6"/>
        <v/>
      </c>
    </row>
    <row r="13" spans="1:20" x14ac:dyDescent="0.3">
      <c r="A13" s="31">
        <v>8</v>
      </c>
      <c r="B13" s="15">
        <v>20</v>
      </c>
      <c r="C13" s="32">
        <f>IF(A13&gt;=Supuestos!$B$18,INT(B13*Supuestos!$B$17),0)</f>
        <v>1</v>
      </c>
      <c r="D13" s="32">
        <f t="shared" si="0"/>
        <v>19</v>
      </c>
      <c r="E13" s="20">
        <f>C13*Supuestos!$B$51</f>
        <v>44.918228965517244</v>
      </c>
      <c r="F13" s="20">
        <f>IF(AND(A13&gt;0,A13&gt;=Supuestos!$B$45),Supuestos!$B$43*Supuestos!$B$44,0)</f>
        <v>0</v>
      </c>
      <c r="G13" s="20">
        <f t="shared" si="1"/>
        <v>44.918228965517244</v>
      </c>
      <c r="H13" s="20">
        <f>IF(OR(A13=0,A13&lt;=Supuestos!$B$32),0,(Supuestos!$B$30+Supuestos!$B$31)*Supuestos!$B$5)</f>
        <v>92.5</v>
      </c>
      <c r="I13" s="20">
        <f>C13*Supuestos!$B$49+D13*Supuestos!$B$50</f>
        <v>76.960000000000008</v>
      </c>
      <c r="J13" s="20">
        <f t="shared" si="7"/>
        <v>500.24000000000012</v>
      </c>
      <c r="K13" s="20">
        <f>MAX(0,J13-Supuestos!$B$53)-MAX(0,J12-Supuestos!$B$53)</f>
        <v>76.960000000000036</v>
      </c>
      <c r="L13" s="20">
        <f t="shared" si="2"/>
        <v>169.46000000000004</v>
      </c>
      <c r="M13" s="20">
        <f>L13*(Supuestos!$B$55-1)</f>
        <v>74.138750000000016</v>
      </c>
      <c r="N13" s="20">
        <f>IF(A13=0,Supuestos!$B$54,0)</f>
        <v>0</v>
      </c>
      <c r="O13" s="20">
        <f t="shared" si="3"/>
        <v>243.59875000000005</v>
      </c>
      <c r="P13" s="20">
        <f t="shared" si="4"/>
        <v>-198.68052103448281</v>
      </c>
      <c r="Q13" s="20">
        <f t="shared" si="8"/>
        <v>-1982.9213551724138</v>
      </c>
      <c r="R13" s="22">
        <f>1/(1+Supuestos!$B$52)^A13</f>
        <v>0.91103439406230124</v>
      </c>
      <c r="S13" s="20">
        <f t="shared" si="5"/>
        <v>-181.00478809263234</v>
      </c>
      <c r="T13" s="31" t="str">
        <f t="shared" si="6"/>
        <v/>
      </c>
    </row>
    <row r="14" spans="1:20" x14ac:dyDescent="0.3">
      <c r="A14" s="31">
        <v>9</v>
      </c>
      <c r="B14" s="15">
        <v>20</v>
      </c>
      <c r="C14" s="32">
        <f>IF(A14&gt;=Supuestos!$B$18,INT(B14*Supuestos!$B$17),0)</f>
        <v>1</v>
      </c>
      <c r="D14" s="32">
        <f t="shared" si="0"/>
        <v>19</v>
      </c>
      <c r="E14" s="20">
        <f>C14*Supuestos!$B$51</f>
        <v>44.918228965517244</v>
      </c>
      <c r="F14" s="20">
        <f>IF(AND(A14&gt;0,A14&gt;=Supuestos!$B$45),Supuestos!$B$43*Supuestos!$B$44,0)</f>
        <v>0</v>
      </c>
      <c r="G14" s="20">
        <f t="shared" si="1"/>
        <v>44.918228965517244</v>
      </c>
      <c r="H14" s="20">
        <f>IF(OR(A14=0,A14&lt;=Supuestos!$B$32),0,(Supuestos!$B$30+Supuestos!$B$31)*Supuestos!$B$5)</f>
        <v>92.5</v>
      </c>
      <c r="I14" s="20">
        <f>C14*Supuestos!$B$49+D14*Supuestos!$B$50</f>
        <v>76.960000000000008</v>
      </c>
      <c r="J14" s="20">
        <f t="shared" si="7"/>
        <v>577.20000000000016</v>
      </c>
      <c r="K14" s="20">
        <f>MAX(0,J14-Supuestos!$B$53)-MAX(0,J13-Supuestos!$B$53)</f>
        <v>76.960000000000036</v>
      </c>
      <c r="L14" s="20">
        <f t="shared" si="2"/>
        <v>169.46000000000004</v>
      </c>
      <c r="M14" s="20">
        <f>L14*(Supuestos!$B$55-1)</f>
        <v>74.138750000000016</v>
      </c>
      <c r="N14" s="20">
        <f>IF(A14=0,Supuestos!$B$54,0)</f>
        <v>0</v>
      </c>
      <c r="O14" s="20">
        <f t="shared" si="3"/>
        <v>243.59875000000005</v>
      </c>
      <c r="P14" s="20">
        <f t="shared" si="4"/>
        <v>-198.68052103448281</v>
      </c>
      <c r="Q14" s="20">
        <f t="shared" si="8"/>
        <v>-2181.6018762068966</v>
      </c>
      <c r="R14" s="22">
        <f>1/(1+Supuestos!$B$52)^A14</f>
        <v>0.90048528377532266</v>
      </c>
      <c r="S14" s="20">
        <f t="shared" si="5"/>
        <v>-178.9088853643652</v>
      </c>
      <c r="T14" s="31" t="str">
        <f t="shared" si="6"/>
        <v/>
      </c>
    </row>
    <row r="15" spans="1:20" x14ac:dyDescent="0.3">
      <c r="A15" s="31">
        <v>10</v>
      </c>
      <c r="B15" s="15">
        <v>20</v>
      </c>
      <c r="C15" s="32">
        <f>IF(A15&gt;=Supuestos!$B$18,INT(B15*Supuestos!$B$17),0)</f>
        <v>1</v>
      </c>
      <c r="D15" s="32">
        <f t="shared" si="0"/>
        <v>19</v>
      </c>
      <c r="E15" s="20">
        <f>C15*Supuestos!$B$51</f>
        <v>44.918228965517244</v>
      </c>
      <c r="F15" s="20">
        <f>IF(AND(A15&gt;0,A15&gt;=Supuestos!$B$45),Supuestos!$B$43*Supuestos!$B$44,0)</f>
        <v>0</v>
      </c>
      <c r="G15" s="20">
        <f t="shared" si="1"/>
        <v>44.918228965517244</v>
      </c>
      <c r="H15" s="20">
        <f>IF(OR(A15=0,A15&lt;=Supuestos!$B$32),0,(Supuestos!$B$30+Supuestos!$B$31)*Supuestos!$B$5)</f>
        <v>92.5</v>
      </c>
      <c r="I15" s="20">
        <f>C15*Supuestos!$B$49+D15*Supuestos!$B$50</f>
        <v>76.960000000000008</v>
      </c>
      <c r="J15" s="20">
        <f t="shared" si="7"/>
        <v>654.1600000000002</v>
      </c>
      <c r="K15" s="20">
        <f>MAX(0,J15-Supuestos!$B$53)-MAX(0,J14-Supuestos!$B$53)</f>
        <v>76.960000000000036</v>
      </c>
      <c r="L15" s="20">
        <f t="shared" si="2"/>
        <v>169.46000000000004</v>
      </c>
      <c r="M15" s="20">
        <f>L15*(Supuestos!$B$55-1)</f>
        <v>74.138750000000016</v>
      </c>
      <c r="N15" s="20">
        <f>IF(A15=0,Supuestos!$B$54,0)</f>
        <v>0</v>
      </c>
      <c r="O15" s="20">
        <f t="shared" si="3"/>
        <v>243.59875000000005</v>
      </c>
      <c r="P15" s="20">
        <f t="shared" si="4"/>
        <v>-198.68052103448281</v>
      </c>
      <c r="Q15" s="20">
        <f t="shared" si="8"/>
        <v>-2380.2823972413794</v>
      </c>
      <c r="R15" s="22">
        <f>1/(1+Supuestos!$B$52)^A15</f>
        <v>0.89005832445056055</v>
      </c>
      <c r="S15" s="20">
        <f t="shared" si="5"/>
        <v>-176.83725165291611</v>
      </c>
      <c r="T15" s="31" t="str">
        <f t="shared" si="6"/>
        <v/>
      </c>
    </row>
    <row r="16" spans="1:20" x14ac:dyDescent="0.3">
      <c r="A16" s="31">
        <v>11</v>
      </c>
      <c r="B16" s="15">
        <v>20</v>
      </c>
      <c r="C16" s="32">
        <f>IF(A16&gt;=Supuestos!$B$18,INT(B16*Supuestos!$B$17),0)</f>
        <v>1</v>
      </c>
      <c r="D16" s="32">
        <f t="shared" si="0"/>
        <v>19</v>
      </c>
      <c r="E16" s="20">
        <f>C16*Supuestos!$B$51</f>
        <v>44.918228965517244</v>
      </c>
      <c r="F16" s="20">
        <f>IF(AND(A16&gt;0,A16&gt;=Supuestos!$B$45),Supuestos!$B$43*Supuestos!$B$44,0)</f>
        <v>0</v>
      </c>
      <c r="G16" s="20">
        <f t="shared" si="1"/>
        <v>44.918228965517244</v>
      </c>
      <c r="H16" s="20">
        <f>IF(OR(A16=0,A16&lt;=Supuestos!$B$32),0,(Supuestos!$B$30+Supuestos!$B$31)*Supuestos!$B$5)</f>
        <v>92.5</v>
      </c>
      <c r="I16" s="20">
        <f>C16*Supuestos!$B$49+D16*Supuestos!$B$50</f>
        <v>76.960000000000008</v>
      </c>
      <c r="J16" s="20">
        <f t="shared" si="7"/>
        <v>731.12000000000023</v>
      </c>
      <c r="K16" s="20">
        <f>MAX(0,J16-Supuestos!$B$53)-MAX(0,J15-Supuestos!$B$53)</f>
        <v>76.960000000000036</v>
      </c>
      <c r="L16" s="20">
        <f t="shared" si="2"/>
        <v>169.46000000000004</v>
      </c>
      <c r="M16" s="20">
        <f>L16*(Supuestos!$B$55-1)</f>
        <v>74.138750000000016</v>
      </c>
      <c r="N16" s="20">
        <f>IF(A16=0,Supuestos!$B$54,0)</f>
        <v>0</v>
      </c>
      <c r="O16" s="20">
        <f t="shared" si="3"/>
        <v>243.59875000000005</v>
      </c>
      <c r="P16" s="20">
        <f t="shared" si="4"/>
        <v>-198.68052103448281</v>
      </c>
      <c r="Q16" s="20">
        <f t="shared" si="8"/>
        <v>-2578.9629182758622</v>
      </c>
      <c r="R16" s="22">
        <f>1/(1+Supuestos!$B$52)^A16</f>
        <v>0.87975210166943663</v>
      </c>
      <c r="S16" s="20">
        <f t="shared" si="5"/>
        <v>-174.78960594086496</v>
      </c>
      <c r="T16" s="31" t="str">
        <f t="shared" si="6"/>
        <v/>
      </c>
    </row>
    <row r="17" spans="1:20" x14ac:dyDescent="0.3">
      <c r="A17" s="31">
        <v>12</v>
      </c>
      <c r="B17" s="15">
        <v>20</v>
      </c>
      <c r="C17" s="32">
        <f>IF(A17&gt;=Supuestos!$B$18,INT(B17*Supuestos!$B$17),0)</f>
        <v>1</v>
      </c>
      <c r="D17" s="32">
        <f t="shared" si="0"/>
        <v>19</v>
      </c>
      <c r="E17" s="20">
        <f>C17*Supuestos!$B$51</f>
        <v>44.918228965517244</v>
      </c>
      <c r="F17" s="20">
        <f>IF(AND(A17&gt;0,A17&gt;=Supuestos!$B$45),Supuestos!$B$43*Supuestos!$B$44,0)</f>
        <v>0</v>
      </c>
      <c r="G17" s="20">
        <f t="shared" si="1"/>
        <v>44.918228965517244</v>
      </c>
      <c r="H17" s="20">
        <f>IF(OR(A17=0,A17&lt;=Supuestos!$B$32),0,(Supuestos!$B$30+Supuestos!$B$31)*Supuestos!$B$5)</f>
        <v>92.5</v>
      </c>
      <c r="I17" s="20">
        <f>C17*Supuestos!$B$49+D17*Supuestos!$B$50</f>
        <v>76.960000000000008</v>
      </c>
      <c r="J17" s="20">
        <f t="shared" si="7"/>
        <v>808.08000000000027</v>
      </c>
      <c r="K17" s="20">
        <f>MAX(0,J17-Supuestos!$B$53)-MAX(0,J16-Supuestos!$B$53)</f>
        <v>76.960000000000036</v>
      </c>
      <c r="L17" s="20">
        <f t="shared" si="2"/>
        <v>169.46000000000004</v>
      </c>
      <c r="M17" s="20">
        <f>L17*(Supuestos!$B$55-1)</f>
        <v>74.138750000000016</v>
      </c>
      <c r="N17" s="20">
        <f>IF(A17=0,Supuestos!$B$54,0)</f>
        <v>0</v>
      </c>
      <c r="O17" s="20">
        <f t="shared" si="3"/>
        <v>243.59875000000005</v>
      </c>
      <c r="P17" s="20">
        <f t="shared" si="4"/>
        <v>-198.68052103448281</v>
      </c>
      <c r="Q17" s="20">
        <f t="shared" si="8"/>
        <v>-2777.643439310345</v>
      </c>
      <c r="R17" s="22">
        <f>1/(1+Supuestos!$B$52)^A17</f>
        <v>0.86956521739130321</v>
      </c>
      <c r="S17" s="20">
        <f t="shared" si="5"/>
        <v>-172.76567046476742</v>
      </c>
      <c r="T17" s="31" t="str">
        <f t="shared" si="6"/>
        <v/>
      </c>
    </row>
    <row r="18" spans="1:20" x14ac:dyDescent="0.3">
      <c r="A18" s="27" t="s">
        <v>260</v>
      </c>
      <c r="E18" s="28">
        <f>SUM(E5:E17)</f>
        <v>404.2640606896552</v>
      </c>
      <c r="F18" s="28">
        <f>SUM(F5:F17)</f>
        <v>0</v>
      </c>
      <c r="G18" s="28">
        <f>SUM(G5:G17)</f>
        <v>404.2640606896552</v>
      </c>
      <c r="H18" s="28">
        <f>SUM(H5:H17)</f>
        <v>925</v>
      </c>
      <c r="I18" s="28">
        <f>SUM(I5:I17)</f>
        <v>808.08000000000027</v>
      </c>
      <c r="K18" s="28">
        <f t="shared" ref="K18:P18" si="9">SUM(K5:K17)</f>
        <v>438.08000000000027</v>
      </c>
      <c r="L18" s="28">
        <f t="shared" si="9"/>
        <v>1363.0800000000004</v>
      </c>
      <c r="M18" s="28">
        <f t="shared" si="9"/>
        <v>596.34750000000008</v>
      </c>
      <c r="N18" s="28">
        <f t="shared" si="9"/>
        <v>1222.48</v>
      </c>
      <c r="O18" s="28">
        <f t="shared" si="9"/>
        <v>3181.9075000000007</v>
      </c>
      <c r="P18" s="28">
        <f t="shared" si="9"/>
        <v>-2777.643439310345</v>
      </c>
      <c r="S18" s="28">
        <f>SUM(S5:S17)</f>
        <v>-2636.1590431412533</v>
      </c>
    </row>
    <row r="20" spans="1:20" x14ac:dyDescent="0.3">
      <c r="A20" s="27" t="s">
        <v>261</v>
      </c>
    </row>
    <row r="21" spans="1:20" x14ac:dyDescent="0.3">
      <c r="A21" s="60" t="s">
        <v>262</v>
      </c>
      <c r="B21" s="61"/>
      <c r="C21" s="61"/>
      <c r="D21" s="61"/>
      <c r="E21" s="61"/>
      <c r="F21" s="28">
        <f>SUM(S5:S17)</f>
        <v>-2636.1590431412533</v>
      </c>
    </row>
    <row r="22" spans="1:20" x14ac:dyDescent="0.3">
      <c r="A22" s="60" t="s">
        <v>263</v>
      </c>
      <c r="B22" s="61"/>
      <c r="C22" s="61"/>
      <c r="D22" s="61"/>
      <c r="E22" s="61"/>
      <c r="F22" s="33" t="str">
        <f>IF(F21&gt;0,"Viable",IF(F21&gt;-0.05*N5,"Marginalmente viable","Inviable como negocio en 12 meses"))</f>
        <v>Inviable como negocio en 12 meses</v>
      </c>
    </row>
    <row r="23" spans="1:20" x14ac:dyDescent="0.3">
      <c r="A23" s="60" t="s">
        <v>264</v>
      </c>
      <c r="B23" s="61"/>
      <c r="C23" s="61"/>
      <c r="D23" s="61"/>
      <c r="E23" s="61"/>
      <c r="F23" s="34" t="str">
        <f>IFERROR(IRR(P5:P17),"No existe: los flujos no cambian de signo")</f>
        <v>No existe: los flujos no cambian de signo</v>
      </c>
    </row>
    <row r="24" spans="1:20" x14ac:dyDescent="0.3">
      <c r="A24" s="60" t="s">
        <v>265</v>
      </c>
      <c r="B24" s="61"/>
      <c r="C24" s="61"/>
      <c r="D24" s="61"/>
      <c r="E24" s="61"/>
      <c r="F24" s="34" t="str">
        <f>IFERROR((1+IRR(P5:P17))^12-1,"No existe")</f>
        <v>No existe</v>
      </c>
    </row>
    <row r="25" spans="1:20" x14ac:dyDescent="0.3">
      <c r="A25" s="60" t="s">
        <v>266</v>
      </c>
      <c r="B25" s="61"/>
      <c r="C25" s="61"/>
      <c r="D25" s="61"/>
      <c r="E25" s="61"/>
      <c r="F25" s="35" t="str">
        <f>IF(COUNT(T6:T17)=0,"Ninguno en 12 meses",MIN(T6:T17))</f>
        <v>Ninguno en 12 meses</v>
      </c>
    </row>
    <row r="26" spans="1:20" x14ac:dyDescent="0.3">
      <c r="A26" s="60" t="s">
        <v>267</v>
      </c>
      <c r="B26" s="61"/>
      <c r="C26" s="61"/>
      <c r="D26" s="61"/>
      <c r="E26" s="61"/>
      <c r="F26" s="28">
        <f>Q17</f>
        <v>-2777.643439310345</v>
      </c>
    </row>
    <row r="27" spans="1:20" x14ac:dyDescent="0.3">
      <c r="A27" s="60" t="s">
        <v>268</v>
      </c>
      <c r="B27" s="61"/>
      <c r="C27" s="61"/>
      <c r="D27" s="61"/>
      <c r="E27" s="61"/>
      <c r="F27" s="28">
        <f>MIN(Q5:Q17)</f>
        <v>-2777.643439310345</v>
      </c>
    </row>
    <row r="28" spans="1:20" x14ac:dyDescent="0.3">
      <c r="A28" s="60" t="s">
        <v>269</v>
      </c>
      <c r="B28" s="61"/>
      <c r="C28" s="61"/>
      <c r="D28" s="61"/>
      <c r="E28" s="61"/>
      <c r="F28" s="36">
        <f>ROUNDUP((O18-F18)/(Supuestos!$B$51*(13-Supuestos!$B$18)),0)</f>
        <v>8</v>
      </c>
    </row>
    <row r="29" spans="1:20" x14ac:dyDescent="0.3">
      <c r="A29" s="60" t="s">
        <v>270</v>
      </c>
      <c r="B29" s="61"/>
      <c r="C29" s="61"/>
      <c r="D29" s="61"/>
      <c r="E29" s="61"/>
      <c r="F29" s="34">
        <f>IF(B17=0,0,F28/B17)</f>
        <v>0.4</v>
      </c>
    </row>
    <row r="30" spans="1:20" x14ac:dyDescent="0.3">
      <c r="A30" s="60" t="s">
        <v>271</v>
      </c>
      <c r="B30" s="61"/>
      <c r="C30" s="61"/>
      <c r="D30" s="61"/>
      <c r="E30" s="61"/>
      <c r="F30" s="36">
        <f>ROUNDUP(O17/Supuestos!$B$51,0)</f>
        <v>6</v>
      </c>
    </row>
  </sheetData>
  <mergeCells count="10">
    <mergeCell ref="A21:E21"/>
    <mergeCell ref="A30:E30"/>
    <mergeCell ref="A29:E29"/>
    <mergeCell ref="A26:E26"/>
    <mergeCell ref="A24:E24"/>
    <mergeCell ref="A25:E25"/>
    <mergeCell ref="A28:E28"/>
    <mergeCell ref="A23:E23"/>
    <mergeCell ref="A22:E22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8" customWidth="1"/>
    <col min="4" max="4" width="22" customWidth="1"/>
    <col min="5" max="5" width="24" customWidth="1"/>
  </cols>
  <sheetData>
    <row r="1" spans="1:5" ht="17.399999999999999" customHeight="1" x14ac:dyDescent="0.3">
      <c r="A1" s="4" t="s">
        <v>272</v>
      </c>
    </row>
    <row r="2" spans="1:5" x14ac:dyDescent="0.3">
      <c r="A2" s="5" t="s">
        <v>273</v>
      </c>
    </row>
    <row r="4" spans="1:5" ht="41.4" customHeight="1" x14ac:dyDescent="0.3">
      <c r="A4" s="6" t="s">
        <v>274</v>
      </c>
      <c r="B4" s="6" t="s">
        <v>275</v>
      </c>
      <c r="C4" s="6" t="s">
        <v>276</v>
      </c>
      <c r="D4" s="6" t="s">
        <v>277</v>
      </c>
      <c r="E4" s="6" t="s">
        <v>278</v>
      </c>
    </row>
    <row r="5" spans="1:5" x14ac:dyDescent="0.3">
      <c r="A5" s="37">
        <v>39</v>
      </c>
      <c r="B5" s="20">
        <f>A5/(1+Supuestos!$B$6)-(A5*Supuestos!$B$7+Supuestos!$B$8)*(1+Supuestos!$B$6)</f>
        <v>28.512049655172412</v>
      </c>
      <c r="C5" s="32">
        <f>ROUNDUP('Flujo de caja'!$O$17/B5,0)</f>
        <v>9</v>
      </c>
      <c r="D5" s="29">
        <f t="shared" ref="D5:D11" si="0">C5/20</f>
        <v>0.45</v>
      </c>
      <c r="E5" s="29">
        <f t="shared" ref="E5:E11" si="1">C5/100</f>
        <v>0.09</v>
      </c>
    </row>
    <row r="6" spans="1:5" x14ac:dyDescent="0.3">
      <c r="A6" s="37">
        <v>49</v>
      </c>
      <c r="B6" s="20">
        <f>A6/(1+Supuestos!$B$6)-(A6*Supuestos!$B$7+Supuestos!$B$8)*(1+Supuestos!$B$6)</f>
        <v>36.715139310344831</v>
      </c>
      <c r="C6" s="32">
        <f>ROUNDUP('Flujo de caja'!$O$17/B6,0)</f>
        <v>7</v>
      </c>
      <c r="D6" s="29">
        <f t="shared" si="0"/>
        <v>0.35</v>
      </c>
      <c r="E6" s="29">
        <f t="shared" si="1"/>
        <v>7.0000000000000007E-2</v>
      </c>
    </row>
    <row r="7" spans="1:5" x14ac:dyDescent="0.3">
      <c r="A7" s="37">
        <v>59</v>
      </c>
      <c r="B7" s="20">
        <f>A7/(1+Supuestos!$B$6)-(A7*Supuestos!$B$7+Supuestos!$B$8)*(1+Supuestos!$B$6)</f>
        <v>44.918228965517244</v>
      </c>
      <c r="C7" s="32">
        <f>ROUNDUP('Flujo de caja'!$O$17/B7,0)</f>
        <v>6</v>
      </c>
      <c r="D7" s="29">
        <f t="shared" si="0"/>
        <v>0.3</v>
      </c>
      <c r="E7" s="29">
        <f t="shared" si="1"/>
        <v>0.06</v>
      </c>
    </row>
    <row r="8" spans="1:5" x14ac:dyDescent="0.3">
      <c r="A8" s="37">
        <v>79</v>
      </c>
      <c r="B8" s="20">
        <f>A8/(1+Supuestos!$B$6)-(A8*Supuestos!$B$7+Supuestos!$B$8)*(1+Supuestos!$B$6)</f>
        <v>61.324408275862076</v>
      </c>
      <c r="C8" s="32">
        <f>ROUNDUP('Flujo de caja'!$O$17/B8,0)</f>
        <v>4</v>
      </c>
      <c r="D8" s="29">
        <f t="shared" si="0"/>
        <v>0.2</v>
      </c>
      <c r="E8" s="29">
        <f t="shared" si="1"/>
        <v>0.04</v>
      </c>
    </row>
    <row r="9" spans="1:5" x14ac:dyDescent="0.3">
      <c r="A9" s="37">
        <v>99</v>
      </c>
      <c r="B9" s="20">
        <f>A9/(1+Supuestos!$B$6)-(A9*Supuestos!$B$7+Supuestos!$B$8)*(1+Supuestos!$B$6)</f>
        <v>77.730587586206909</v>
      </c>
      <c r="C9" s="32">
        <f>ROUNDUP('Flujo de caja'!$O$17/B9,0)</f>
        <v>4</v>
      </c>
      <c r="D9" s="29">
        <f t="shared" si="0"/>
        <v>0.2</v>
      </c>
      <c r="E9" s="29">
        <f t="shared" si="1"/>
        <v>0.04</v>
      </c>
    </row>
    <row r="10" spans="1:5" x14ac:dyDescent="0.3">
      <c r="A10" s="37">
        <v>149</v>
      </c>
      <c r="B10" s="20">
        <f>A10/(1+Supuestos!$B$6)-(A10*Supuestos!$B$7+Supuestos!$B$8)*(1+Supuestos!$B$6)</f>
        <v>118.74603586206898</v>
      </c>
      <c r="C10" s="32">
        <f>ROUNDUP('Flujo de caja'!$O$17/B10,0)</f>
        <v>3</v>
      </c>
      <c r="D10" s="29">
        <f t="shared" si="0"/>
        <v>0.15</v>
      </c>
      <c r="E10" s="29">
        <f t="shared" si="1"/>
        <v>0.03</v>
      </c>
    </row>
    <row r="11" spans="1:5" x14ac:dyDescent="0.3">
      <c r="A11" s="37">
        <v>300</v>
      </c>
      <c r="B11" s="20">
        <f>A11/(1+Supuestos!$B$6)-(A11*Supuestos!$B$7+Supuestos!$B$8)*(1+Supuestos!$B$6)</f>
        <v>242.61268965517243</v>
      </c>
      <c r="C11" s="32">
        <f>ROUNDUP('Flujo de caja'!$O$17/B11,0)</f>
        <v>2</v>
      </c>
      <c r="D11" s="29">
        <f t="shared" si="0"/>
        <v>0.1</v>
      </c>
      <c r="E11" s="29">
        <f t="shared" si="1"/>
        <v>0.02</v>
      </c>
    </row>
    <row r="13" spans="1:5" x14ac:dyDescent="0.3">
      <c r="A13" s="5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8" width="14" customWidth="1"/>
    <col min="9" max="10" width="4" customWidth="1"/>
  </cols>
  <sheetData>
    <row r="1" spans="1:8" ht="17.399999999999999" customHeight="1" x14ac:dyDescent="0.3">
      <c r="A1" s="4" t="s">
        <v>280</v>
      </c>
    </row>
    <row r="2" spans="1:8" x14ac:dyDescent="0.3">
      <c r="A2" s="38" t="s">
        <v>281</v>
      </c>
    </row>
    <row r="4" spans="1:8" x14ac:dyDescent="0.3">
      <c r="A4" s="39" t="s">
        <v>282</v>
      </c>
    </row>
    <row r="5" spans="1:8" x14ac:dyDescent="0.3">
      <c r="A5" s="40" t="s">
        <v>205</v>
      </c>
      <c r="B5" s="40" t="s">
        <v>283</v>
      </c>
      <c r="C5" s="40" t="s">
        <v>284</v>
      </c>
      <c r="D5" s="40" t="s">
        <v>285</v>
      </c>
      <c r="E5" s="40" t="s">
        <v>286</v>
      </c>
      <c r="F5" s="40" t="s">
        <v>287</v>
      </c>
      <c r="G5" s="40" t="s">
        <v>288</v>
      </c>
      <c r="H5" s="40" t="s">
        <v>289</v>
      </c>
    </row>
    <row r="6" spans="1:8" x14ac:dyDescent="0.3">
      <c r="A6" s="38" t="s">
        <v>290</v>
      </c>
      <c r="B6" s="41">
        <v>-250000</v>
      </c>
      <c r="C6" s="41">
        <v>60000</v>
      </c>
      <c r="D6" s="41">
        <v>60000</v>
      </c>
      <c r="E6" s="41">
        <v>60000</v>
      </c>
      <c r="F6" s="41">
        <v>60000</v>
      </c>
      <c r="G6" s="41">
        <v>60000</v>
      </c>
      <c r="H6" s="41">
        <v>60000</v>
      </c>
    </row>
    <row r="7" spans="1:8" x14ac:dyDescent="0.3">
      <c r="A7" s="38" t="s">
        <v>291</v>
      </c>
      <c r="B7" s="42">
        <v>0.11</v>
      </c>
    </row>
    <row r="8" spans="1:8" x14ac:dyDescent="0.3">
      <c r="A8" s="39" t="s">
        <v>292</v>
      </c>
      <c r="B8" s="43">
        <f>B6+NPV(B7,C6:H6)</f>
        <v>3832.2712242953421</v>
      </c>
    </row>
    <row r="9" spans="1:8" x14ac:dyDescent="0.3">
      <c r="A9" s="38" t="s">
        <v>293</v>
      </c>
      <c r="B9" s="38" t="str">
        <f>IF(B8&gt;0,"Viable","No viable")</f>
        <v>Viable</v>
      </c>
    </row>
    <row r="10" spans="1:8" x14ac:dyDescent="0.3">
      <c r="A10" s="38" t="s">
        <v>294</v>
      </c>
      <c r="B10" s="42">
        <v>0.11</v>
      </c>
    </row>
    <row r="11" spans="1:8" x14ac:dyDescent="0.3">
      <c r="A11" s="38" t="s">
        <v>295</v>
      </c>
      <c r="B11" s="44">
        <f>B6+NPV(B10,C6:H6)</f>
        <v>3832.2712242953421</v>
      </c>
    </row>
    <row r="12" spans="1:8" x14ac:dyDescent="0.3">
      <c r="A12" s="38" t="s">
        <v>296</v>
      </c>
      <c r="B12" s="42">
        <v>0.12</v>
      </c>
    </row>
    <row r="13" spans="1:8" x14ac:dyDescent="0.3">
      <c r="A13" s="38" t="s">
        <v>297</v>
      </c>
      <c r="B13" s="44">
        <f>B6+NPV(B12,C6:H6)</f>
        <v>-3315.5605886604753</v>
      </c>
    </row>
    <row r="14" spans="1:8" x14ac:dyDescent="0.3">
      <c r="A14" s="38" t="s">
        <v>298</v>
      </c>
      <c r="B14" s="45">
        <f>B10+(B12-B10)*B11/(B11-B13)</f>
        <v>0.11536144571469792</v>
      </c>
    </row>
    <row r="15" spans="1:8" x14ac:dyDescent="0.3">
      <c r="A15" s="39" t="s">
        <v>299</v>
      </c>
      <c r="B15" s="46">
        <f>IRR(B6:H6)</f>
        <v>0.11530473216469828</v>
      </c>
    </row>
    <row r="18" spans="1:6" x14ac:dyDescent="0.3">
      <c r="A18" s="39" t="s">
        <v>300</v>
      </c>
    </row>
    <row r="19" spans="1:6" x14ac:dyDescent="0.3">
      <c r="A19" s="40" t="s">
        <v>205</v>
      </c>
      <c r="B19" s="40" t="s">
        <v>283</v>
      </c>
      <c r="C19" s="40" t="s">
        <v>284</v>
      </c>
      <c r="D19" s="40" t="s">
        <v>285</v>
      </c>
      <c r="E19" s="40" t="s">
        <v>286</v>
      </c>
      <c r="F19" s="40" t="s">
        <v>287</v>
      </c>
    </row>
    <row r="20" spans="1:6" x14ac:dyDescent="0.3">
      <c r="A20" s="38" t="s">
        <v>290</v>
      </c>
      <c r="B20" s="41">
        <v>-50000</v>
      </c>
      <c r="C20" s="41">
        <v>7500</v>
      </c>
      <c r="D20" s="41">
        <v>12000</v>
      </c>
      <c r="E20" s="41">
        <v>20000</v>
      </c>
      <c r="F20" s="41">
        <v>25000</v>
      </c>
    </row>
    <row r="21" spans="1:6" x14ac:dyDescent="0.3">
      <c r="A21" s="38" t="s">
        <v>291</v>
      </c>
      <c r="B21" s="42">
        <v>0.04</v>
      </c>
    </row>
    <row r="22" spans="1:6" x14ac:dyDescent="0.3">
      <c r="A22" s="39" t="s">
        <v>292</v>
      </c>
      <c r="B22" s="43">
        <f>B20+NPV(B21,C20:F20)</f>
        <v>7456.2449669129201</v>
      </c>
    </row>
    <row r="23" spans="1:6" x14ac:dyDescent="0.3">
      <c r="A23" s="38" t="s">
        <v>293</v>
      </c>
      <c r="B23" s="38" t="str">
        <f>IF(B22&gt;0,"Viable","No viable")</f>
        <v>Viable</v>
      </c>
    </row>
    <row r="24" spans="1:6" x14ac:dyDescent="0.3">
      <c r="A24" s="38" t="s">
        <v>294</v>
      </c>
      <c r="B24" s="42">
        <v>0.04</v>
      </c>
    </row>
    <row r="25" spans="1:6" x14ac:dyDescent="0.3">
      <c r="A25" s="38" t="s">
        <v>295</v>
      </c>
      <c r="B25" s="44">
        <f>B20+NPV(B24,C20:F20)</f>
        <v>7456.2449669129201</v>
      </c>
    </row>
    <row r="26" spans="1:6" x14ac:dyDescent="0.3">
      <c r="A26" s="38" t="s">
        <v>296</v>
      </c>
      <c r="B26" s="42">
        <v>0.1</v>
      </c>
    </row>
    <row r="27" spans="1:6" x14ac:dyDescent="0.3">
      <c r="A27" s="38" t="s">
        <v>297</v>
      </c>
      <c r="B27" s="44">
        <f>B20+NPV(B26,C20:F20)</f>
        <v>-1162.8304077590437</v>
      </c>
    </row>
    <row r="28" spans="1:6" x14ac:dyDescent="0.3">
      <c r="A28" s="38" t="s">
        <v>298</v>
      </c>
      <c r="B28" s="45">
        <f>B24+(B26-B24)*B25/(B25-B27)</f>
        <v>9.1905184554880642E-2</v>
      </c>
    </row>
    <row r="29" spans="1:6" x14ac:dyDescent="0.3">
      <c r="A29" s="39" t="s">
        <v>299</v>
      </c>
      <c r="B29" s="46">
        <f>IRR(B20:F20)</f>
        <v>9.102357730736621E-2</v>
      </c>
    </row>
    <row r="32" spans="1:6" x14ac:dyDescent="0.3">
      <c r="A32" s="39" t="s">
        <v>301</v>
      </c>
    </row>
    <row r="33" spans="1:6" x14ac:dyDescent="0.3">
      <c r="A33" s="40" t="s">
        <v>205</v>
      </c>
      <c r="B33" s="40" t="s">
        <v>283</v>
      </c>
      <c r="C33" s="40" t="s">
        <v>284</v>
      </c>
      <c r="D33" s="40" t="s">
        <v>285</v>
      </c>
      <c r="E33" s="40" t="s">
        <v>286</v>
      </c>
      <c r="F33" s="40" t="s">
        <v>287</v>
      </c>
    </row>
    <row r="34" spans="1:6" x14ac:dyDescent="0.3">
      <c r="A34" s="38" t="s">
        <v>290</v>
      </c>
      <c r="B34" s="41">
        <v>-1000000</v>
      </c>
      <c r="C34" s="41">
        <v>300000</v>
      </c>
      <c r="D34" s="41">
        <v>350000</v>
      </c>
      <c r="E34" s="41">
        <v>375000</v>
      </c>
      <c r="F34" s="41">
        <v>450000</v>
      </c>
    </row>
    <row r="35" spans="1:6" x14ac:dyDescent="0.3">
      <c r="A35" s="38" t="s">
        <v>291</v>
      </c>
      <c r="B35" s="42">
        <v>0.1</v>
      </c>
    </row>
    <row r="36" spans="1:6" x14ac:dyDescent="0.3">
      <c r="A36" s="39" t="s">
        <v>292</v>
      </c>
      <c r="B36" s="43">
        <f>B34+NPV(B35,C34:F34)</f>
        <v>151082.57632675348</v>
      </c>
    </row>
    <row r="37" spans="1:6" x14ac:dyDescent="0.3">
      <c r="A37" s="38" t="s">
        <v>293</v>
      </c>
      <c r="B37" s="38" t="str">
        <f>IF(B36&gt;0,"Viable","No viable")</f>
        <v>Viable</v>
      </c>
    </row>
    <row r="38" spans="1:6" x14ac:dyDescent="0.3">
      <c r="A38" s="38" t="s">
        <v>294</v>
      </c>
      <c r="B38" s="42">
        <v>0.1</v>
      </c>
    </row>
    <row r="39" spans="1:6" x14ac:dyDescent="0.3">
      <c r="A39" s="38" t="s">
        <v>295</v>
      </c>
      <c r="B39" s="44">
        <f>B34+NPV(B38,C34:F34)</f>
        <v>151082.57632675348</v>
      </c>
    </row>
    <row r="40" spans="1:6" x14ac:dyDescent="0.3">
      <c r="A40" s="38" t="s">
        <v>296</v>
      </c>
      <c r="B40" s="42">
        <v>0.2</v>
      </c>
    </row>
    <row r="41" spans="1:6" x14ac:dyDescent="0.3">
      <c r="A41" s="38" t="s">
        <v>297</v>
      </c>
      <c r="B41" s="44">
        <f>B34+NPV(B40,C34:F34)</f>
        <v>-72916.666666666395</v>
      </c>
    </row>
    <row r="42" spans="1:6" x14ac:dyDescent="0.3">
      <c r="A42" s="38" t="s">
        <v>298</v>
      </c>
      <c r="B42" s="45">
        <f>B38+(B40-B38)*B39/(B39-B41)</f>
        <v>0.16744780665673573</v>
      </c>
    </row>
    <row r="43" spans="1:6" x14ac:dyDescent="0.3">
      <c r="A43" s="39" t="s">
        <v>299</v>
      </c>
      <c r="B43" s="46">
        <f>IRR(B34:F34)</f>
        <v>0.16351233760604988</v>
      </c>
    </row>
    <row r="46" spans="1:6" x14ac:dyDescent="0.3">
      <c r="A46" s="39" t="s">
        <v>302</v>
      </c>
    </row>
    <row r="47" spans="1:6" x14ac:dyDescent="0.3">
      <c r="A47" s="40" t="s">
        <v>205</v>
      </c>
      <c r="B47" s="40" t="s">
        <v>283</v>
      </c>
      <c r="C47" s="40" t="s">
        <v>284</v>
      </c>
      <c r="D47" s="40" t="s">
        <v>285</v>
      </c>
      <c r="E47" s="40" t="s">
        <v>286</v>
      </c>
    </row>
    <row r="48" spans="1:6" x14ac:dyDescent="0.3">
      <c r="A48" s="38" t="s">
        <v>290</v>
      </c>
      <c r="B48" s="41">
        <v>-50000</v>
      </c>
      <c r="C48" s="41">
        <v>25000</v>
      </c>
      <c r="D48" s="41">
        <v>25000</v>
      </c>
      <c r="E48" s="41">
        <v>25000</v>
      </c>
    </row>
    <row r="49" spans="1:5" x14ac:dyDescent="0.3">
      <c r="A49" s="38" t="s">
        <v>291</v>
      </c>
      <c r="B49" s="42">
        <v>0.08</v>
      </c>
    </row>
    <row r="50" spans="1:5" x14ac:dyDescent="0.3">
      <c r="A50" s="39" t="s">
        <v>292</v>
      </c>
      <c r="B50" s="43">
        <f>B48+NPV(B49,C48:E48)</f>
        <v>14427.424681196964</v>
      </c>
    </row>
    <row r="51" spans="1:5" x14ac:dyDescent="0.3">
      <c r="A51" s="38" t="s">
        <v>293</v>
      </c>
      <c r="B51" s="38" t="str">
        <f>IF(B50&gt;0,"Viable","No viable")</f>
        <v>Viable</v>
      </c>
    </row>
    <row r="52" spans="1:5" x14ac:dyDescent="0.3">
      <c r="A52" s="38" t="s">
        <v>294</v>
      </c>
      <c r="B52" s="42">
        <v>0.2</v>
      </c>
    </row>
    <row r="53" spans="1:5" x14ac:dyDescent="0.3">
      <c r="A53" s="38" t="s">
        <v>295</v>
      </c>
      <c r="B53" s="44">
        <f>B48+NPV(B52,C48:E48)</f>
        <v>2662.0370370370438</v>
      </c>
    </row>
    <row r="54" spans="1:5" x14ac:dyDescent="0.3">
      <c r="A54" s="38" t="s">
        <v>296</v>
      </c>
      <c r="B54" s="42">
        <v>0.25</v>
      </c>
    </row>
    <row r="55" spans="1:5" x14ac:dyDescent="0.3">
      <c r="A55" s="38" t="s">
        <v>297</v>
      </c>
      <c r="B55" s="44">
        <f>B48+NPV(B54,C48:E48)</f>
        <v>-1200</v>
      </c>
    </row>
    <row r="56" spans="1:5" x14ac:dyDescent="0.3">
      <c r="A56" s="38" t="s">
        <v>298</v>
      </c>
      <c r="B56" s="45">
        <f>B52+(B54-B52)*B53/(B53-B55)</f>
        <v>0.23446415727643255</v>
      </c>
    </row>
    <row r="57" spans="1:5" x14ac:dyDescent="0.3">
      <c r="A57" s="39" t="s">
        <v>299</v>
      </c>
      <c r="B57" s="46">
        <f>IRR(B48:E48)</f>
        <v>0.23375192852825655</v>
      </c>
    </row>
    <row r="60" spans="1:5" x14ac:dyDescent="0.3">
      <c r="A60" s="39" t="s">
        <v>303</v>
      </c>
    </row>
    <row r="61" spans="1:5" x14ac:dyDescent="0.3">
      <c r="A61" s="40" t="s">
        <v>205</v>
      </c>
      <c r="B61" s="40" t="s">
        <v>283</v>
      </c>
      <c r="C61" s="40" t="s">
        <v>284</v>
      </c>
      <c r="D61" s="40" t="s">
        <v>285</v>
      </c>
      <c r="E61" s="40" t="s">
        <v>286</v>
      </c>
    </row>
    <row r="62" spans="1:5" x14ac:dyDescent="0.3">
      <c r="A62" s="38" t="s">
        <v>290</v>
      </c>
      <c r="B62" s="41">
        <v>-50000</v>
      </c>
      <c r="C62" s="41">
        <v>10000</v>
      </c>
      <c r="D62" s="41">
        <v>20000</v>
      </c>
      <c r="E62" s="41">
        <v>45000</v>
      </c>
    </row>
    <row r="63" spans="1:5" x14ac:dyDescent="0.3">
      <c r="A63" s="38" t="s">
        <v>291</v>
      </c>
      <c r="B63" s="42">
        <v>0.08</v>
      </c>
    </row>
    <row r="64" spans="1:5" x14ac:dyDescent="0.3">
      <c r="A64" s="39" t="s">
        <v>292</v>
      </c>
      <c r="B64" s="43">
        <f>B62+NPV(B63,C62:E62)</f>
        <v>12128.486511202558</v>
      </c>
    </row>
    <row r="65" spans="1:6" x14ac:dyDescent="0.3">
      <c r="A65" s="38" t="s">
        <v>293</v>
      </c>
      <c r="B65" s="38" t="str">
        <f>IF(B64&gt;0,"Viable","No viable")</f>
        <v>Viable</v>
      </c>
    </row>
    <row r="66" spans="1:6" x14ac:dyDescent="0.3">
      <c r="A66" s="38" t="s">
        <v>294</v>
      </c>
      <c r="B66" s="42">
        <v>0.15</v>
      </c>
    </row>
    <row r="67" spans="1:6" x14ac:dyDescent="0.3">
      <c r="A67" s="38" t="s">
        <v>295</v>
      </c>
      <c r="B67" s="44">
        <f>B62+NPV(B66,C62:E62)</f>
        <v>3406.7559792882457</v>
      </c>
    </row>
    <row r="68" spans="1:6" x14ac:dyDescent="0.3">
      <c r="A68" s="38" t="s">
        <v>296</v>
      </c>
      <c r="B68" s="42">
        <v>0.2</v>
      </c>
    </row>
    <row r="69" spans="1:6" x14ac:dyDescent="0.3">
      <c r="A69" s="38" t="s">
        <v>297</v>
      </c>
      <c r="B69" s="44">
        <f>B62+NPV(B68,C62:E62)</f>
        <v>-1736.1111111111022</v>
      </c>
    </row>
    <row r="70" spans="1:6" x14ac:dyDescent="0.3">
      <c r="A70" s="38" t="s">
        <v>298</v>
      </c>
      <c r="B70" s="45">
        <f>B66+(B68-B66)*B67/(B67-B69)</f>
        <v>0.18312117462308081</v>
      </c>
    </row>
    <row r="71" spans="1:6" x14ac:dyDescent="0.3">
      <c r="A71" s="39" t="s">
        <v>299</v>
      </c>
      <c r="B71" s="46">
        <f>IRR(B62:E62)</f>
        <v>0.18224830730867825</v>
      </c>
    </row>
    <row r="74" spans="1:6" x14ac:dyDescent="0.3">
      <c r="A74" s="39" t="s">
        <v>304</v>
      </c>
    </row>
    <row r="75" spans="1:6" x14ac:dyDescent="0.3">
      <c r="A75" s="40" t="s">
        <v>205</v>
      </c>
      <c r="B75" s="40" t="s">
        <v>283</v>
      </c>
      <c r="C75" s="40" t="s">
        <v>284</v>
      </c>
      <c r="D75" s="40" t="s">
        <v>285</v>
      </c>
      <c r="E75" s="40" t="s">
        <v>286</v>
      </c>
      <c r="F75" s="40" t="s">
        <v>287</v>
      </c>
    </row>
    <row r="76" spans="1:6" x14ac:dyDescent="0.3">
      <c r="A76" s="38" t="s">
        <v>290</v>
      </c>
      <c r="B76" s="41">
        <v>-500000</v>
      </c>
      <c r="C76" s="41">
        <v>180000</v>
      </c>
      <c r="D76" s="41">
        <v>200000</v>
      </c>
      <c r="E76" s="41">
        <v>190000</v>
      </c>
      <c r="F76" s="41">
        <v>170000</v>
      </c>
    </row>
    <row r="77" spans="1:6" x14ac:dyDescent="0.3">
      <c r="A77" s="38" t="s">
        <v>291</v>
      </c>
      <c r="B77" s="42">
        <v>0.14000000000000001</v>
      </c>
    </row>
    <row r="78" spans="1:6" x14ac:dyDescent="0.3">
      <c r="A78" s="39" t="s">
        <v>292</v>
      </c>
      <c r="B78" s="43">
        <f>B76+NPV(B77,C76:F76)</f>
        <v>40686.477767480188</v>
      </c>
    </row>
    <row r="79" spans="1:6" x14ac:dyDescent="0.3">
      <c r="A79" s="38" t="s">
        <v>293</v>
      </c>
      <c r="B79" s="38" t="str">
        <f>IF(B78&gt;0,"Viable","No viable")</f>
        <v>Viable</v>
      </c>
    </row>
    <row r="80" spans="1:6" x14ac:dyDescent="0.3">
      <c r="A80" s="38" t="s">
        <v>294</v>
      </c>
      <c r="B80" s="42">
        <v>0.14000000000000001</v>
      </c>
    </row>
    <row r="81" spans="1:3" x14ac:dyDescent="0.3">
      <c r="A81" s="38" t="s">
        <v>295</v>
      </c>
      <c r="B81" s="44">
        <f>B76+NPV(B80,C76:F76)</f>
        <v>40686.477767480188</v>
      </c>
    </row>
    <row r="82" spans="1:3" x14ac:dyDescent="0.3">
      <c r="A82" s="38" t="s">
        <v>296</v>
      </c>
      <c r="B82" s="42">
        <v>0.22</v>
      </c>
    </row>
    <row r="83" spans="1:3" x14ac:dyDescent="0.3">
      <c r="A83" s="38" t="s">
        <v>297</v>
      </c>
      <c r="B83" s="44">
        <f>B76+NPV(B82,C76:F76)</f>
        <v>-36714.382318849384</v>
      </c>
    </row>
    <row r="84" spans="1:3" x14ac:dyDescent="0.3">
      <c r="A84" s="38" t="s">
        <v>298</v>
      </c>
      <c r="B84" s="45">
        <f>B80+(B82-B80)*B81/(B81-B83)</f>
        <v>0.18205273969524396</v>
      </c>
    </row>
    <row r="85" spans="1:3" x14ac:dyDescent="0.3">
      <c r="A85" s="39" t="s">
        <v>299</v>
      </c>
      <c r="B85" s="46">
        <f>IRR(B76:F76)</f>
        <v>0.17948508613670677</v>
      </c>
    </row>
    <row r="88" spans="1:3" x14ac:dyDescent="0.3">
      <c r="A88" s="39" t="s">
        <v>305</v>
      </c>
    </row>
    <row r="89" spans="1:3" x14ac:dyDescent="0.3">
      <c r="A89" s="40" t="s">
        <v>306</v>
      </c>
      <c r="B89" s="40" t="s">
        <v>292</v>
      </c>
      <c r="C89" s="40" t="s">
        <v>293</v>
      </c>
    </row>
    <row r="90" spans="1:3" x14ac:dyDescent="0.3">
      <c r="A90" s="42">
        <v>0.08</v>
      </c>
      <c r="B90" s="44">
        <f>B48+NPV(A90,C48:E48)</f>
        <v>14427.424681196964</v>
      </c>
      <c r="C90" s="38" t="str">
        <f>IF(B90&gt;0,"Aceptar","Rechazar")</f>
        <v>Aceptar</v>
      </c>
    </row>
    <row r="91" spans="1:3" x14ac:dyDescent="0.3">
      <c r="A91" s="42">
        <v>0.15</v>
      </c>
      <c r="B91" s="44">
        <f>B48+NPV(A91,C48:E48)</f>
        <v>7080.6279280019808</v>
      </c>
      <c r="C91" s="38" t="str">
        <f>IF(B91&gt;0,"Aceptar","Rechazar")</f>
        <v>Aceptar</v>
      </c>
    </row>
    <row r="92" spans="1:3" x14ac:dyDescent="0.3">
      <c r="A92" s="42">
        <v>0.2</v>
      </c>
      <c r="B92" s="44">
        <f>B48+NPV(A92,C48:E48)</f>
        <v>2662.0370370370438</v>
      </c>
      <c r="C92" s="38" t="str">
        <f>IF(B92&gt;0,"Aceptar","Rechazar")</f>
        <v>Aceptar</v>
      </c>
    </row>
    <row r="93" spans="1:3" x14ac:dyDescent="0.3">
      <c r="A93" s="42">
        <v>0.25</v>
      </c>
      <c r="B93" s="44">
        <f>B48+NPV(A93,C48:E48)</f>
        <v>-1200</v>
      </c>
      <c r="C93" s="38" t="str">
        <f>IF(B93&gt;0,"Aceptar","Rechazar")</f>
        <v>Rechazar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Leeme</vt:lpstr>
      <vt:lpstr>Supuestos</vt:lpstr>
      <vt:lpstr>BOM</vt:lpstr>
      <vt:lpstr>Costo IA</vt:lpstr>
      <vt:lpstr>Costo unitario</vt:lpstr>
      <vt:lpstr>Flujo de caja</vt:lpstr>
      <vt:lpstr>Sensibilidad</vt:lpstr>
      <vt:lpstr>Ejercicios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 RAMIREZ DAVID</cp:lastModifiedBy>
  <dcterms:created xsi:type="dcterms:W3CDTF">2026-10-07T00:30:06Z</dcterms:created>
  <dcterms:modified xsi:type="dcterms:W3CDTF">2026-10-09T02:54:31Z</dcterms:modified>
</cp:coreProperties>
</file>